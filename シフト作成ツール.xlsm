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spica\Desktop\"/>
    </mc:Choice>
  </mc:AlternateContent>
  <xr:revisionPtr revIDLastSave="0" documentId="13_ncr:1_{0B87DFF4-D9D2-41CE-9A8B-D1DC6215CC2D}" xr6:coauthVersionLast="46" xr6:coauthVersionMax="46" xr10:uidLastSave="{00000000-0000-0000-0000-000000000000}"/>
  <bookViews>
    <workbookView xWindow="-108" yWindow="-108" windowWidth="23256" windowHeight="12576" xr2:uid="{00000000-000D-0000-FFFF-FFFF00000000}"/>
  </bookViews>
  <sheets>
    <sheet name="シフト表" sheetId="1" r:id="rId1"/>
    <sheet name="振り分けマスタ" sheetId="2" r:id="rId2"/>
    <sheet name="仕様・流れ" sheetId="3" r:id="rId3"/>
  </sheets>
  <functionGroups builtInGroupCount="19"/>
  <definedNames>
    <definedName name="_xlnm._FilterDatabase" localSheetId="0" hidden="1">シフト表!$D$1:$AG$19</definedName>
    <definedName name="Z_1711859A_82A2_482E_A75D_2F7182D5A743_.wvu.FilterData" localSheetId="0" hidden="1">シフト表!$D$1:$AG$19</definedName>
    <definedName name="Z_1BDCBC38_37EB_4DA5_98DC_D95F6AB0B894_.wvu.FilterData" localSheetId="0" hidden="1">シフト表!$D$1:$AG$19</definedName>
    <definedName name="Z_1BDCBC38_37EB_4DA5_98DC_D95F6AB0B894_.wvu.PrintArea" localSheetId="0" hidden="1">シフト表!$D$1:$AH$19</definedName>
    <definedName name="Z_2193B262_60F0_4BF4_A1DB_8B2D35E17ACE_.wvu.FilterData" localSheetId="0" hidden="1">シフト表!$D$1:$AG$19</definedName>
    <definedName name="Z_2FCEA7B5_A613_4A3D_8326_6CED3FE84531_.wvu.FilterData" localSheetId="0" hidden="1">シフト表!$D$1:$AG$19</definedName>
    <definedName name="Z_2FCEA7B5_A613_4A3D_8326_6CED3FE84531_.wvu.PrintArea" localSheetId="0" hidden="1">シフト表!$D$1:$AG$19</definedName>
    <definedName name="Z_3773826B_E399_4EC1_A77E_D20731129208_.wvu.FilterData" localSheetId="0" hidden="1">シフト表!$D$1:$AG$19</definedName>
    <definedName name="Z_3773826B_E399_4EC1_A77E_D20731129208_.wvu.PrintArea" localSheetId="0" hidden="1">シフト表!$D$1:$AH$19</definedName>
    <definedName name="Z_39635FD2_C171_4A6D_BD35_B7C07BB1A307_.wvu.FilterData" localSheetId="0" hidden="1">シフト表!$D$1:$AG$19</definedName>
    <definedName name="Z_3C34A159_CE24_4E45_9A1E_3A4663BD8DB5_.wvu.FilterData" localSheetId="0" hidden="1">シフト表!$D$1:$AG$19</definedName>
    <definedName name="Z_3D11ADB8_DEB7_4BF2_9D2A_A4616EC1FE30_.wvu.FilterData" localSheetId="0" hidden="1">シフト表!$D$1:$AG$19</definedName>
    <definedName name="Z_3D11ADB8_DEB7_4BF2_9D2A_A4616EC1FE30_.wvu.PrintArea" localSheetId="0" hidden="1">シフト表!$D$1:$AI$19</definedName>
    <definedName name="Z_456D6C4A_EC03_41F0_AE92_2E2DE875EBC2_.wvu.FilterData" localSheetId="0" hidden="1">シフト表!$D$1:$AG$19</definedName>
    <definedName name="Z_545CF6B8_EE3D_4715_B9A2_C4673728AD5B_.wvu.FilterData" localSheetId="0" hidden="1">シフト表!$D$1:$AG$19</definedName>
    <definedName name="Z_677844A2_6C12_46EC_9FB5_B3F320D6E8DE_.wvu.FilterData" localSheetId="0" hidden="1">シフト表!$D$1:$AG$19</definedName>
    <definedName name="Z_67AD057F_2C78_4D84_B49A_2238816F9904_.wvu.FilterData" localSheetId="0" hidden="1">シフト表!$D$1:$AG$19</definedName>
    <definedName name="Z_6A060D38_4A3E_4740_84B0_16F2D62BD1A8_.wvu.FilterData" localSheetId="0" hidden="1">シフト表!$D$1:$AG$19</definedName>
    <definedName name="Z_6E63EF81_B0B2_4949_899C_E27192091E81_.wvu.FilterData" localSheetId="0" hidden="1">シフト表!$D$1:$AG$19</definedName>
    <definedName name="Z_75DA063A_26E0_4C39_B62A_1C005B6B2065_.wvu.FilterData" localSheetId="0" hidden="1">シフト表!$D$1:$AG$19</definedName>
    <definedName name="Z_7F8B5635_A623_4E30_B3CD_81572E28DD3B_.wvu.FilterData" localSheetId="0" hidden="1">シフト表!$D$1:$AG$19</definedName>
    <definedName name="Z_7F8B5635_A623_4E30_B3CD_81572E28DD3B_.wvu.PrintArea" localSheetId="0" hidden="1">シフト表!$D$1:$AG$19</definedName>
    <definedName name="Z_9305C5A5_D0DC_44A7_9F2E_3D9972329F3B_.wvu.FilterData" localSheetId="0" hidden="1">シフト表!$D$1:$AG$19</definedName>
    <definedName name="Z_9305C5A5_D0DC_44A7_9F2E_3D9972329F3B_.wvu.PrintArea" localSheetId="0" hidden="1">シフト表!$D$1:$AG$19</definedName>
    <definedName name="Z_9ADEE405_CBAD_4CF6_9C20_B153B2654FB8_.wvu.FilterData" localSheetId="0" hidden="1">シフト表!$D$1:$AG$19</definedName>
    <definedName name="Z_A1418FD9_89C5_4F44_A74D_6331990FE1E0_.wvu.FilterData" localSheetId="0" hidden="1">シフト表!$D$1:$AG$19</definedName>
    <definedName name="Z_A3AF4FE4_1E78_480F_9B9B_476F47ABC5A8_.wvu.FilterData" localSheetId="0" hidden="1">シフト表!$D$1:$AG$19</definedName>
    <definedName name="Z_A78EA054_5408_4728_9653_21E584127590_.wvu.FilterData" localSheetId="0" hidden="1">シフト表!$D$1:$AG$19</definedName>
    <definedName name="Z_B3C9AC5F_5B8B_410E_9D26_5B59C498E5A1_.wvu.FilterData" localSheetId="0" hidden="1">シフト表!$D$1:$AG$19</definedName>
    <definedName name="Z_B3C9AC5F_5B8B_410E_9D26_5B59C498E5A1_.wvu.PrintArea" localSheetId="0" hidden="1">シフト表!$D$1:$AG$19</definedName>
    <definedName name="Z_B4ABEC74_BE6E_4701_B231_5C3C35D55B06_.wvu.FilterData" localSheetId="0" hidden="1">シフト表!$D$1:$AG$19</definedName>
    <definedName name="Z_B88512C7_E999_43DF_910E_79F492ACDC07_.wvu.FilterData" localSheetId="0" hidden="1">シフト表!$D$1:$AG$19</definedName>
    <definedName name="Z_B88512C7_E999_43DF_910E_79F492ACDC07_.wvu.PrintArea" localSheetId="0" hidden="1">シフト表!$D$1:$AG$19</definedName>
    <definedName name="Z_B89C46FF_B5CD_4BEF_B497_E37B7642E00D_.wvu.FilterData" localSheetId="0" hidden="1">シフト表!$D$1:$AG$19</definedName>
    <definedName name="Z_CAD02746_BE67_464E_B984_9A8BC8B2F47F_.wvu.FilterData" localSheetId="0" hidden="1">シフト表!$D$1:$AG$19</definedName>
    <definedName name="Z_CAD02746_BE67_464E_B984_9A8BC8B2F47F_.wvu.PrintArea" localSheetId="0" hidden="1">シフト表!$D$1:$AG$19</definedName>
    <definedName name="Z_CCC91180_5AFF_4F66_8289_751A6565A566_.wvu.FilterData" localSheetId="0" hidden="1">シフト表!$D$1:$AG$19</definedName>
    <definedName name="Z_CCC91180_5AFF_4F66_8289_751A6565A566_.wvu.PrintArea" localSheetId="0" hidden="1">シフト表!$D$1:$AG$19</definedName>
    <definedName name="Z_D65F1D84_E790_44C7_9649_81A182A9F5B4_.wvu.FilterData" localSheetId="0" hidden="1">シフト表!$D$1:$AG$19</definedName>
    <definedName name="Z_D65F1D84_E790_44C7_9649_81A182A9F5B4_.wvu.PrintArea" localSheetId="0" hidden="1">シフト表!$D$1:$AG$19</definedName>
    <definedName name="Z_E6ABB168_1180_4DA6_9D13_FBE3E317346D_.wvu.FilterData" localSheetId="0" hidden="1">シフト表!$D$1:$AG$19</definedName>
    <definedName name="Z_E6ABB168_1180_4DA6_9D13_FBE3E317346D_.wvu.PrintArea" localSheetId="0" hidden="1">シフト表!$D$1:$AG$19</definedName>
    <definedName name="Z_F25A9431_EF11_42C3_A78F_687A63A3E286_.wvu.FilterData" localSheetId="0" hidden="1">シフト表!$D$1:$AG$19</definedName>
    <definedName name="Z_F25A9431_EF11_42C3_A78F_687A63A3E286_.wvu.PrintArea" localSheetId="0" hidden="1">シフト表!$D$1:$AG$19</definedName>
  </definedNames>
  <calcPr calcId="191028"/>
  <customWorkbookViews>
    <customWorkbookView name="宮本 - 個人用ビュー" guid="{CAD02746-BE67-464E-B984-9A8BC8B2F47F}" mergeInterval="0" personalView="1" maximized="1" xWindow="-9" yWindow="-9" windowWidth="1938" windowHeight="1048" activeSheetId="1"/>
    <customWorkbookView name="田口 - 個人用ビュー" guid="{3773826B-E399-4EC1-A77E-D20731129208}" mergeInterval="0" personalView="1" maximized="1" xWindow="-8" yWindow="-8" windowWidth="1936" windowHeight="1015" activeSheetId="1"/>
    <customWorkbookView name="北條 - 個人用ビュー" guid="{7F8B5635-A623-4E30-B3CD-81572E28DD3B}" mergeInterval="0" personalView="1" maximized="1" xWindow="-9" yWindow="-9" windowWidth="1938" windowHeight="1048" activeSheetId="1"/>
    <customWorkbookView name="新井 - 個人用ビュー" guid="{9305C5A5-D0DC-44A7-9F2E-3D9972329F3B}" mergeInterval="0" personalView="1" maximized="1" xWindow="-8" yWindow="-8" windowWidth="1936" windowHeight="1056" activeSheetId="1"/>
    <customWorkbookView name="今井 - 個人用ビュー" guid="{B88512C7-E999-43DF-910E-79F492ACDC07}" mergeInterval="0" personalView="1" maximized="1" xWindow="-8" yWindow="-8" windowWidth="1936" windowHeight="1056" activeSheetId="1"/>
    <customWorkbookView name="米沢 - 個人用ビュー" guid="{CCC91180-5AFF-4F66-8289-751A6565A566}" mergeInterval="0" personalView="1" maximized="1" xWindow="-8" yWindow="-8" windowWidth="1936" windowHeight="1015" activeSheetId="1"/>
    <customWorkbookView name="高橋 - 個人用ビュー" guid="{B3C9AC5F-5B8B-410E-9D26-5B59C498E5A1}" mergeInterval="0" personalView="1" maximized="1" xWindow="-8" yWindow="-8" windowWidth="1936" windowHeight="1056" activeSheetId="1"/>
    <customWorkbookView name="白谷 - 個人用ビュー" guid="{F25A9431-EF11-42C3-A78F-687A63A3E286}" mergeInterval="0" personalView="1" maximized="1" xWindow="-9" yWindow="-9" windowWidth="1938" windowHeight="1048" activeSheetId="1"/>
    <customWorkbookView name="土居 - 個人用ビュー" guid="{2FCEA7B5-A613-4A3D-8326-6CED3FE84531}" mergeInterval="0" personalView="1" maximized="1" xWindow="-8" yWindow="-8" windowWidth="1936" windowHeight="1056" activeSheetId="1"/>
    <customWorkbookView name="岩本 - 個人用ビュー" guid="{1BDCBC38-37EB-4DA5-98DC-D95F6AB0B894}" mergeInterval="0" personalView="1" maximized="1" xWindow="-8" yWindow="-8" windowWidth="1936" windowHeight="1056" activeSheetId="1"/>
    <customWorkbookView name="砂土居 - 個人用ビュー" guid="{D65F1D84-E790-44C7-9649-81A182A9F5B4}" mergeInterval="0" personalView="1" maximized="1" xWindow="-8" yWindow="-8" windowWidth="1936" windowHeight="1056" activeSheetId="1"/>
    <customWorkbookView name="山田(和) - 個人用ビュー" guid="{3D11ADB8-DEB7-4BF2-9D2A-A4616EC1FE30}" mergeInterval="0" personalView="1" maximized="1" xWindow="-9" yWindow="-9" windowWidth="1938" windowHeight="1048" activeSheetId="1"/>
    <customWorkbookView name="井原 - 個人用ビュー" guid="{E6ABB168-1180-4DA6-9D13-FBE3E317346D}" mergeInterval="0" personalView="1" maximized="1" xWindow="-8" yWindow="-8" windowWidth="1936" windowHeight="1056" activeSheetId="1"/>
    <customWorkbookView name="三菱食品 - 個人用ビュー" guid="{545CF6B8-EE3D-4715-B9A2-C4673728AD5B}" mergeInterval="0" personalView="1" maximized="1" xWindow="-9" yWindow="-9" windowWidth="1938" windowHeight="1048" activeSheetId="2"/>
  </customWorkbookViews>
</workbook>
</file>

<file path=xl/calcChain.xml><?xml version="1.0" encoding="utf-8"?>
<calcChain xmlns="http://schemas.openxmlformats.org/spreadsheetml/2006/main">
  <c r="AJ10" i="1" l="1"/>
  <c r="AK10" i="1"/>
  <c r="AJ11" i="1"/>
  <c r="AK11" i="1"/>
  <c r="AJ12" i="1"/>
  <c r="AK12" i="1"/>
  <c r="AJ13" i="1"/>
  <c r="AK13" i="1"/>
  <c r="AJ14" i="1"/>
  <c r="AK14" i="1"/>
  <c r="AJ15" i="1"/>
  <c r="AK15" i="1"/>
  <c r="AJ16" i="1"/>
  <c r="AK16" i="1"/>
  <c r="AJ17" i="1"/>
  <c r="AK17" i="1"/>
  <c r="AK9" i="1"/>
  <c r="AJ9" i="1"/>
  <c r="AJ18" i="1"/>
  <c r="AK18" i="1"/>
  <c r="AJ8" i="1" l="1"/>
  <c r="AK8" i="1"/>
  <c r="AK7" i="1"/>
  <c r="AJ7" i="1"/>
  <c r="E3" i="1"/>
  <c r="E28" i="1" l="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V8" i="1" l="1"/>
  <c r="N8" i="1"/>
  <c r="J8" i="1"/>
  <c r="AH8" i="1"/>
  <c r="AD8" i="1"/>
  <c r="Z8" i="1"/>
  <c r="R8" i="1"/>
  <c r="F8" i="1"/>
  <c r="AG8" i="1"/>
  <c r="AC8" i="1"/>
  <c r="Y8" i="1"/>
  <c r="U8" i="1"/>
  <c r="Q8" i="1"/>
  <c r="M8" i="1"/>
  <c r="I8" i="1"/>
  <c r="AB8" i="1"/>
  <c r="X8" i="1"/>
  <c r="T8" i="1"/>
  <c r="P8" i="1"/>
  <c r="L8" i="1"/>
  <c r="H8" i="1"/>
  <c r="E8" i="1"/>
  <c r="AF8" i="1"/>
  <c r="AE8" i="1"/>
  <c r="AA8" i="1"/>
  <c r="W8" i="1"/>
  <c r="S8" i="1"/>
  <c r="O8" i="1"/>
  <c r="K8" i="1"/>
  <c r="G8" i="1"/>
  <c r="F3" i="1" l="1"/>
  <c r="G3" i="1" s="1"/>
  <c r="H3" i="1" l="1"/>
  <c r="H4" i="1" s="1"/>
  <c r="G4" i="1"/>
  <c r="E4" i="1"/>
  <c r="F4" i="1"/>
  <c r="I3" i="1"/>
  <c r="J3" i="1" l="1"/>
  <c r="I4" i="1"/>
  <c r="K3" i="1" l="1"/>
  <c r="J4" i="1"/>
  <c r="L3" i="1" l="1"/>
  <c r="K4" i="1"/>
  <c r="M3" i="1" l="1"/>
  <c r="L4" i="1"/>
  <c r="N3" i="1" l="1"/>
  <c r="M4" i="1"/>
  <c r="O3" i="1" l="1"/>
  <c r="N4" i="1"/>
  <c r="P3" i="1" l="1"/>
  <c r="O4" i="1"/>
  <c r="Q3" i="1" l="1"/>
  <c r="P4" i="1"/>
  <c r="R3" i="1" l="1"/>
  <c r="Q4" i="1"/>
  <c r="S3" i="1" l="1"/>
  <c r="R4" i="1"/>
  <c r="T3" i="1" l="1"/>
  <c r="S4" i="1"/>
  <c r="U3" i="1" l="1"/>
  <c r="T4" i="1"/>
  <c r="V3" i="1" l="1"/>
  <c r="U4" i="1"/>
  <c r="W3" i="1" l="1"/>
  <c r="V4" i="1"/>
  <c r="X3" i="1" l="1"/>
  <c r="W4" i="1"/>
  <c r="Y3" i="1" l="1"/>
  <c r="X4" i="1"/>
  <c r="Z3" i="1" l="1"/>
  <c r="Y4" i="1"/>
  <c r="AA3" i="1" l="1"/>
  <c r="Z4" i="1"/>
  <c r="AB3" i="1" l="1"/>
  <c r="AA4" i="1"/>
  <c r="AC3" i="1" l="1"/>
  <c r="AB4" i="1"/>
  <c r="AD3" i="1" l="1"/>
  <c r="AC4" i="1"/>
  <c r="AE3" i="1" l="1"/>
  <c r="AD4" i="1"/>
  <c r="AF3" i="1" l="1"/>
  <c r="AG3" i="1" s="1"/>
  <c r="AH3" i="1" s="1"/>
  <c r="AI3" i="1" s="1"/>
  <c r="AE4" i="1"/>
  <c r="AF4" i="1" l="1"/>
  <c r="AG4" i="1" l="1"/>
  <c r="AH4" i="1" l="1"/>
  <c r="AI4" i="1"/>
</calcChain>
</file>

<file path=xl/sharedStrings.xml><?xml version="1.0" encoding="utf-8"?>
<sst xmlns="http://schemas.openxmlformats.org/spreadsheetml/2006/main" count="272" uniqueCount="123">
  <si>
    <t>月</t>
    <phoneticPr fontId="2"/>
  </si>
  <si>
    <t>役職</t>
  </si>
  <si>
    <t>社員番号</t>
  </si>
  <si>
    <t>部長</t>
  </si>
  <si>
    <t>0001</t>
  </si>
  <si>
    <t>課長</t>
  </si>
  <si>
    <t>0002</t>
  </si>
  <si>
    <t>鈴木</t>
  </si>
  <si>
    <t>0003</t>
  </si>
  <si>
    <t>最低出社人数</t>
  </si>
  <si>
    <t>出社人数集計</t>
  </si>
  <si>
    <t>主任</t>
  </si>
  <si>
    <t>0004</t>
  </si>
  <si>
    <t>浜松</t>
  </si>
  <si>
    <t>0005</t>
  </si>
  <si>
    <t>田町</t>
  </si>
  <si>
    <t>主務</t>
  </si>
  <si>
    <t>0006</t>
  </si>
  <si>
    <t>品川</t>
  </si>
  <si>
    <t>0007</t>
  </si>
  <si>
    <t>大崎</t>
  </si>
  <si>
    <t>0008</t>
  </si>
  <si>
    <t>五反田</t>
  </si>
  <si>
    <t>0009</t>
  </si>
  <si>
    <t>目黒</t>
  </si>
  <si>
    <t>0010</t>
  </si>
  <si>
    <t>恵比寿</t>
  </si>
  <si>
    <t>0011</t>
  </si>
  <si>
    <t>渋谷</t>
  </si>
  <si>
    <t>0012</t>
  </si>
  <si>
    <t>原宿</t>
  </si>
  <si>
    <t>契約</t>
  </si>
  <si>
    <t>0013</t>
  </si>
  <si>
    <t>代々木</t>
  </si>
  <si>
    <t>0014</t>
  </si>
  <si>
    <t>新宿</t>
  </si>
  <si>
    <t>札幌</t>
    <rPh sb="0" eb="2">
      <t>サッポロ</t>
    </rPh>
    <phoneticPr fontId="0"/>
  </si>
  <si>
    <t>東北</t>
    <rPh sb="0" eb="2">
      <t>トウホク</t>
    </rPh>
    <phoneticPr fontId="0"/>
  </si>
  <si>
    <t>関東</t>
    <rPh sb="0" eb="2">
      <t>カントウ</t>
    </rPh>
    <phoneticPr fontId="0"/>
  </si>
  <si>
    <t>東海</t>
    <rPh sb="0" eb="2">
      <t>トウカイ</t>
    </rPh>
    <phoneticPr fontId="0"/>
  </si>
  <si>
    <t>六甲</t>
    <rPh sb="0" eb="2">
      <t>ロッコウ</t>
    </rPh>
    <phoneticPr fontId="0"/>
  </si>
  <si>
    <t>中四国</t>
    <rPh sb="0" eb="1">
      <t>ナカ</t>
    </rPh>
    <rPh sb="1" eb="3">
      <t>シコク</t>
    </rPh>
    <phoneticPr fontId="0"/>
  </si>
  <si>
    <t>九州</t>
    <rPh sb="0" eb="2">
      <t>キュウシュウ</t>
    </rPh>
    <phoneticPr fontId="0"/>
  </si>
  <si>
    <t>沖縄</t>
    <rPh sb="0" eb="2">
      <t>オキナワ</t>
    </rPh>
    <phoneticPr fontId="0"/>
  </si>
  <si>
    <t>SCI305</t>
    <phoneticPr fontId="15"/>
  </si>
  <si>
    <t>内線318
札幌・デ東</t>
    <rPh sb="0" eb="2">
      <t>ナイセン</t>
    </rPh>
    <rPh sb="6" eb="8">
      <t>サッポロ</t>
    </rPh>
    <rPh sb="10" eb="11">
      <t>ヒガシ</t>
    </rPh>
    <phoneticPr fontId="2"/>
  </si>
  <si>
    <t>髙木</t>
    <phoneticPr fontId="2"/>
  </si>
  <si>
    <t>SCI401</t>
  </si>
  <si>
    <t>内線320
東北</t>
    <rPh sb="0" eb="2">
      <t>ナイセン</t>
    </rPh>
    <rPh sb="6" eb="8">
      <t>トウホク</t>
    </rPh>
    <phoneticPr fontId="2"/>
  </si>
  <si>
    <t>山田</t>
    <rPh sb="0" eb="2">
      <t>ヤマダ</t>
    </rPh>
    <phoneticPr fontId="2"/>
  </si>
  <si>
    <t>SCI405</t>
  </si>
  <si>
    <t>内線319
関東</t>
    <rPh sb="0" eb="2">
      <t>ナイセン</t>
    </rPh>
    <rPh sb="6" eb="8">
      <t>カントウ</t>
    </rPh>
    <phoneticPr fontId="2"/>
  </si>
  <si>
    <t>笹倉</t>
    <rPh sb="0" eb="2">
      <t>ササクラ</t>
    </rPh>
    <phoneticPr fontId="2"/>
  </si>
  <si>
    <t>SCI314</t>
    <phoneticPr fontId="15"/>
  </si>
  <si>
    <t>内線323
東海</t>
    <rPh sb="0" eb="2">
      <t>ナイセン</t>
    </rPh>
    <rPh sb="6" eb="8">
      <t>トウカイ</t>
    </rPh>
    <phoneticPr fontId="2"/>
  </si>
  <si>
    <t>井原</t>
    <rPh sb="0" eb="2">
      <t>イハラ</t>
    </rPh>
    <phoneticPr fontId="2"/>
  </si>
  <si>
    <t>SCI327</t>
  </si>
  <si>
    <t>内線324
近畿・デ西</t>
    <rPh sb="0" eb="2">
      <t>ナイセン</t>
    </rPh>
    <rPh sb="6" eb="8">
      <t>キンキ</t>
    </rPh>
    <rPh sb="10" eb="11">
      <t>ニシ</t>
    </rPh>
    <phoneticPr fontId="2"/>
  </si>
  <si>
    <t>白谷</t>
    <rPh sb="0" eb="1">
      <t>シロ</t>
    </rPh>
    <rPh sb="1" eb="2">
      <t>タニ</t>
    </rPh>
    <phoneticPr fontId="2"/>
  </si>
  <si>
    <t>SCI315</t>
  </si>
  <si>
    <t>中四国</t>
    <rPh sb="0" eb="3">
      <t>チュウシコク</t>
    </rPh>
    <phoneticPr fontId="2"/>
  </si>
  <si>
    <t>宮本</t>
    <rPh sb="0" eb="2">
      <t>ミヤモト</t>
    </rPh>
    <phoneticPr fontId="2"/>
  </si>
  <si>
    <t>SCI323</t>
  </si>
  <si>
    <t>九州</t>
    <rPh sb="0" eb="2">
      <t>キュウシュウ</t>
    </rPh>
    <phoneticPr fontId="2"/>
  </si>
  <si>
    <t>宮下</t>
    <rPh sb="0" eb="2">
      <t>ミヤシタ</t>
    </rPh>
    <phoneticPr fontId="2"/>
  </si>
  <si>
    <t>SCI301</t>
    <phoneticPr fontId="15"/>
  </si>
  <si>
    <t>内線321
沖縄</t>
    <rPh sb="0" eb="2">
      <t>ナイセン</t>
    </rPh>
    <rPh sb="6" eb="8">
      <t>オキナワ</t>
    </rPh>
    <phoneticPr fontId="2"/>
  </si>
  <si>
    <t>小坂</t>
    <rPh sb="0" eb="2">
      <t>コザカ</t>
    </rPh>
    <phoneticPr fontId="2"/>
  </si>
  <si>
    <t>SCI328</t>
  </si>
  <si>
    <t>内線322
→不具合につき334に
16：30まで</t>
    <rPh sb="0" eb="2">
      <t>ナイセン</t>
    </rPh>
    <rPh sb="7" eb="10">
      <t>フグアイ</t>
    </rPh>
    <phoneticPr fontId="2"/>
  </si>
  <si>
    <t>高嶋</t>
    <rPh sb="0" eb="2">
      <t>タカシマ</t>
    </rPh>
    <phoneticPr fontId="2"/>
  </si>
  <si>
    <t>SCI325</t>
  </si>
  <si>
    <t>北條</t>
    <rPh sb="0" eb="2">
      <t>ホウジョウ</t>
    </rPh>
    <phoneticPr fontId="2"/>
  </si>
  <si>
    <t>SCI321</t>
  </si>
  <si>
    <t>福井</t>
    <rPh sb="0" eb="2">
      <t>フクイ</t>
    </rPh>
    <phoneticPr fontId="2"/>
  </si>
  <si>
    <t>シフトに入る要素</t>
    <rPh sb="4" eb="5">
      <t>イ</t>
    </rPh>
    <rPh sb="6" eb="8">
      <t>ヨウソ</t>
    </rPh>
    <phoneticPr fontId="2"/>
  </si>
  <si>
    <t>代理必要か</t>
    <rPh sb="0" eb="2">
      <t>ダイリ</t>
    </rPh>
    <rPh sb="2" eb="4">
      <t>ヒツヨウ</t>
    </rPh>
    <phoneticPr fontId="2"/>
  </si>
  <si>
    <t>代理担当できるか</t>
    <rPh sb="0" eb="2">
      <t>ダイリ</t>
    </rPh>
    <rPh sb="2" eb="4">
      <t>タントウ</t>
    </rPh>
    <phoneticPr fontId="2"/>
  </si>
  <si>
    <t>担当マスタ</t>
    <rPh sb="0" eb="2">
      <t>タントウ</t>
    </rPh>
    <phoneticPr fontId="2"/>
  </si>
  <si>
    <t>〇</t>
    <phoneticPr fontId="2"/>
  </si>
  <si>
    <t>×</t>
    <phoneticPr fontId="2"/>
  </si>
  <si>
    <t>8時～</t>
    <rPh sb="1" eb="2">
      <t>ジ</t>
    </rPh>
    <phoneticPr fontId="2"/>
  </si>
  <si>
    <t>10時～</t>
    <rPh sb="2" eb="3">
      <t>ジ</t>
    </rPh>
    <phoneticPr fontId="2"/>
  </si>
  <si>
    <t>P休</t>
    <rPh sb="1" eb="2">
      <t>ヤス</t>
    </rPh>
    <phoneticPr fontId="2"/>
  </si>
  <si>
    <t>A休</t>
    <rPh sb="1" eb="2">
      <t>ヤス</t>
    </rPh>
    <phoneticPr fontId="2"/>
  </si>
  <si>
    <t>TW</t>
    <phoneticPr fontId="2"/>
  </si>
  <si>
    <t>8時TW</t>
    <rPh sb="1" eb="2">
      <t>ジ</t>
    </rPh>
    <phoneticPr fontId="2"/>
  </si>
  <si>
    <t>10時TW</t>
    <rPh sb="2" eb="3">
      <t>ジ</t>
    </rPh>
    <phoneticPr fontId="2"/>
  </si>
  <si>
    <t>ATW/P休</t>
    <rPh sb="5" eb="6">
      <t>キュウ</t>
    </rPh>
    <phoneticPr fontId="2"/>
  </si>
  <si>
    <t>A休/PTW</t>
    <rPh sb="1" eb="2">
      <t>キュウ</t>
    </rPh>
    <phoneticPr fontId="2"/>
  </si>
  <si>
    <t>ATW/P出</t>
    <rPh sb="5" eb="6">
      <t>デ</t>
    </rPh>
    <phoneticPr fontId="2"/>
  </si>
  <si>
    <t>A出/PTW</t>
    <rPh sb="1" eb="2">
      <t>デ</t>
    </rPh>
    <phoneticPr fontId="2"/>
  </si>
  <si>
    <t>終日外出</t>
  </si>
  <si>
    <t>やっている内容</t>
    <rPh sb="5" eb="7">
      <t>ナイヨウ</t>
    </rPh>
    <phoneticPr fontId="2"/>
  </si>
  <si>
    <t>割り当ての対象者はその日のセルが空欄の人です。</t>
    <rPh sb="0" eb="1">
      <t>ワ</t>
    </rPh>
    <rPh sb="2" eb="3">
      <t>ア</t>
    </rPh>
    <rPh sb="5" eb="8">
      <t>タイショウシャ</t>
    </rPh>
    <rPh sb="11" eb="12">
      <t>ヒ</t>
    </rPh>
    <rPh sb="16" eb="18">
      <t>クウラン</t>
    </rPh>
    <rPh sb="19" eb="20">
      <t>ヒト</t>
    </rPh>
    <phoneticPr fontId="2"/>
  </si>
  <si>
    <t>対象者は浜松さん～原宿さんまでになっています。</t>
  </si>
  <si>
    <t>①多い人を調整</t>
    <rPh sb="1" eb="2">
      <t>オオ</t>
    </rPh>
    <rPh sb="3" eb="4">
      <t>ヒト</t>
    </rPh>
    <rPh sb="5" eb="7">
      <t>チョウセイ</t>
    </rPh>
    <phoneticPr fontId="2"/>
  </si>
  <si>
    <t>★一番上の=MAX(・・・)で一番多い人が5回以上だったら要調整なので処理。</t>
    <rPh sb="1" eb="3">
      <t>イチバン</t>
    </rPh>
    <rPh sb="3" eb="4">
      <t>ウエ</t>
    </rPh>
    <rPh sb="15" eb="17">
      <t>イチバン</t>
    </rPh>
    <rPh sb="17" eb="18">
      <t>オオ</t>
    </rPh>
    <rPh sb="19" eb="20">
      <t>ヒト</t>
    </rPh>
    <rPh sb="22" eb="25">
      <t>カイイジョウ</t>
    </rPh>
    <rPh sb="29" eb="30">
      <t>ヨウ</t>
    </rPh>
    <rPh sb="30" eb="32">
      <t>チョウセイ</t>
    </rPh>
    <rPh sb="35" eb="37">
      <t>ショリ</t>
    </rPh>
    <phoneticPr fontId="2"/>
  </si>
  <si>
    <t>上から順にループさせて、合計回数を見て行って5回以上の人ooiさんに対して処理を行います。4回以下の人は処理をせずに飛ばします。</t>
    <rPh sb="0" eb="1">
      <t>ウエ</t>
    </rPh>
    <rPh sb="3" eb="4">
      <t>ジュン</t>
    </rPh>
    <rPh sb="12" eb="14">
      <t>ゴウケイ</t>
    </rPh>
    <rPh sb="14" eb="16">
      <t>カイスウ</t>
    </rPh>
    <rPh sb="17" eb="18">
      <t>ミ</t>
    </rPh>
    <rPh sb="19" eb="20">
      <t>イ</t>
    </rPh>
    <rPh sb="23" eb="24">
      <t>カイ</t>
    </rPh>
    <rPh sb="24" eb="26">
      <t>イジョウ</t>
    </rPh>
    <rPh sb="27" eb="28">
      <t>ヒト</t>
    </rPh>
    <rPh sb="34" eb="35">
      <t>タイ</t>
    </rPh>
    <rPh sb="37" eb="39">
      <t>ショリ</t>
    </rPh>
    <rPh sb="40" eb="41">
      <t>オコナ</t>
    </rPh>
    <rPh sb="46" eb="47">
      <t>カイ</t>
    </rPh>
    <rPh sb="47" eb="49">
      <t>イカ</t>
    </rPh>
    <rPh sb="50" eb="51">
      <t>ヒト</t>
    </rPh>
    <rPh sb="52" eb="54">
      <t>ショリ</t>
    </rPh>
    <rPh sb="58" eb="59">
      <t>ト</t>
    </rPh>
    <phoneticPr fontId="2"/>
  </si>
  <si>
    <t>ooiさんを決めたらsukuさんを探すループ処理に入る</t>
    <rPh sb="6" eb="7">
      <t>キ</t>
    </rPh>
    <rPh sb="17" eb="18">
      <t>サガ</t>
    </rPh>
    <rPh sb="22" eb="24">
      <t>ショリ</t>
    </rPh>
    <rPh sb="25" eb="26">
      <t>ハイ</t>
    </rPh>
    <phoneticPr fontId="2"/>
  </si>
  <si>
    <t>候補者の上から順に集計をチェック。2回以下の人を探します。</t>
    <rPh sb="0" eb="3">
      <t>コウホシャ</t>
    </rPh>
    <rPh sb="4" eb="5">
      <t>ウエ</t>
    </rPh>
    <rPh sb="7" eb="8">
      <t>ジュン</t>
    </rPh>
    <rPh sb="9" eb="11">
      <t>シュウケイ</t>
    </rPh>
    <rPh sb="18" eb="19">
      <t>カイ</t>
    </rPh>
    <rPh sb="19" eb="21">
      <t>イカ</t>
    </rPh>
    <rPh sb="22" eb="23">
      <t>ヒト</t>
    </rPh>
    <rPh sb="24" eb="25">
      <t>サガ</t>
    </rPh>
    <phoneticPr fontId="2"/>
  </si>
  <si>
    <t>見つかった人をsukuさんとして、この処理の対象となっているooiさんとペアを作る。</t>
    <rPh sb="0" eb="1">
      <t>ミ</t>
    </rPh>
    <rPh sb="5" eb="6">
      <t>ヒト</t>
    </rPh>
    <rPh sb="19" eb="21">
      <t>ショリ</t>
    </rPh>
    <rPh sb="22" eb="24">
      <t>タイショウ</t>
    </rPh>
    <rPh sb="39" eb="40">
      <t>ツク</t>
    </rPh>
    <phoneticPr fontId="2"/>
  </si>
  <si>
    <t>sukuさんが見つかってペアができたらこの処理に入る。</t>
    <rPh sb="7" eb="8">
      <t>ミ</t>
    </rPh>
    <rPh sb="21" eb="23">
      <t>ショリ</t>
    </rPh>
    <rPh sb="24" eb="25">
      <t>ハイ</t>
    </rPh>
    <phoneticPr fontId="2"/>
  </si>
  <si>
    <t>ooiさんの昼当番にあたってる日を横1列で検索。</t>
    <rPh sb="6" eb="7">
      <t>ヒル</t>
    </rPh>
    <rPh sb="7" eb="9">
      <t>トウバン</t>
    </rPh>
    <rPh sb="15" eb="16">
      <t>ヒ</t>
    </rPh>
    <rPh sb="17" eb="18">
      <t>ヨコ</t>
    </rPh>
    <rPh sb="19" eb="20">
      <t>レツ</t>
    </rPh>
    <rPh sb="21" eb="23">
      <t>ケンサク</t>
    </rPh>
    <phoneticPr fontId="2"/>
  </si>
  <si>
    <t>ooiさんの昼当番の日がsukuさんが変われる日なら交換。</t>
    <rPh sb="6" eb="7">
      <t>ヒル</t>
    </rPh>
    <rPh sb="7" eb="9">
      <t>トウバン</t>
    </rPh>
    <rPh sb="10" eb="11">
      <t>ヒ</t>
    </rPh>
    <rPh sb="19" eb="20">
      <t>カ</t>
    </rPh>
    <rPh sb="23" eb="24">
      <t>ヒ</t>
    </rPh>
    <rPh sb="26" eb="28">
      <t>コウカン</t>
    </rPh>
    <phoneticPr fontId="2"/>
  </si>
  <si>
    <t>・交換をするごとにooiさんとsukuさんの集計を見て、ooiさんが4回になるかsukuさんが3回になったらその時点でループ終了。</t>
    <rPh sb="1" eb="3">
      <t>コウカン</t>
    </rPh>
    <rPh sb="22" eb="24">
      <t>シュウケイ</t>
    </rPh>
    <rPh sb="25" eb="26">
      <t>ミ</t>
    </rPh>
    <rPh sb="35" eb="36">
      <t>カイ</t>
    </rPh>
    <rPh sb="48" eb="49">
      <t>カイ</t>
    </rPh>
    <rPh sb="56" eb="58">
      <t>ジテン</t>
    </rPh>
    <rPh sb="62" eb="64">
      <t>シュウリョウ</t>
    </rPh>
    <phoneticPr fontId="2"/>
  </si>
  <si>
    <t>最後の人までチェック終わったら交換ループ終了。</t>
    <rPh sb="0" eb="2">
      <t>サイゴ</t>
    </rPh>
    <rPh sb="3" eb="4">
      <t>ヒト</t>
    </rPh>
    <rPh sb="10" eb="11">
      <t>オ</t>
    </rPh>
    <rPh sb="15" eb="17">
      <t>コウカン</t>
    </rPh>
    <rPh sb="20" eb="22">
      <t>シュウリョウ</t>
    </rPh>
    <phoneticPr fontId="2"/>
  </si>
  <si>
    <t>最後の人までチェックしたらおしまい。</t>
    <rPh sb="0" eb="2">
      <t>サイゴ</t>
    </rPh>
    <rPh sb="3" eb="4">
      <t>ヒト</t>
    </rPh>
    <phoneticPr fontId="2"/>
  </si>
  <si>
    <t>①少ない人を調整</t>
    <rPh sb="1" eb="2">
      <t>スク</t>
    </rPh>
    <rPh sb="4" eb="5">
      <t>ヒト</t>
    </rPh>
    <rPh sb="6" eb="8">
      <t>チョウセイ</t>
    </rPh>
    <phoneticPr fontId="2"/>
  </si>
  <si>
    <t>★一番上の=MIN(…)で一番少ない人が3回未満だったら要調整なので処理。</t>
    <rPh sb="1" eb="3">
      <t>イチバン</t>
    </rPh>
    <rPh sb="3" eb="4">
      <t>ウエ</t>
    </rPh>
    <rPh sb="13" eb="15">
      <t>イチバン</t>
    </rPh>
    <rPh sb="15" eb="16">
      <t>スク</t>
    </rPh>
    <rPh sb="18" eb="19">
      <t>ヒト</t>
    </rPh>
    <rPh sb="21" eb="22">
      <t>カイ</t>
    </rPh>
    <rPh sb="22" eb="24">
      <t>ミマン</t>
    </rPh>
    <rPh sb="28" eb="29">
      <t>ヨウ</t>
    </rPh>
    <rPh sb="29" eb="31">
      <t>チョウセイ</t>
    </rPh>
    <rPh sb="34" eb="36">
      <t>ショリ</t>
    </rPh>
    <phoneticPr fontId="2"/>
  </si>
  <si>
    <t>上から順にループさせて、合計回数を見て行っ3回未満の人sukuさんに対して処理を進めます。3回以上の人は処理をせずに飛ばします。</t>
    <rPh sb="0" eb="1">
      <t>ウエ</t>
    </rPh>
    <rPh sb="3" eb="4">
      <t>ジュン</t>
    </rPh>
    <rPh sb="12" eb="14">
      <t>ゴウケイ</t>
    </rPh>
    <rPh sb="14" eb="16">
      <t>カイスウ</t>
    </rPh>
    <rPh sb="17" eb="18">
      <t>ミ</t>
    </rPh>
    <rPh sb="19" eb="20">
      <t>イ</t>
    </rPh>
    <rPh sb="22" eb="23">
      <t>カイ</t>
    </rPh>
    <rPh sb="23" eb="25">
      <t>ミマン</t>
    </rPh>
    <rPh sb="26" eb="27">
      <t>ヒト</t>
    </rPh>
    <rPh sb="34" eb="35">
      <t>タイ</t>
    </rPh>
    <rPh sb="37" eb="39">
      <t>ショリ</t>
    </rPh>
    <rPh sb="40" eb="41">
      <t>スス</t>
    </rPh>
    <rPh sb="46" eb="47">
      <t>カイ</t>
    </rPh>
    <rPh sb="47" eb="49">
      <t>イジョウ</t>
    </rPh>
    <rPh sb="50" eb="51">
      <t>ヒト</t>
    </rPh>
    <rPh sb="52" eb="54">
      <t>ショリ</t>
    </rPh>
    <rPh sb="58" eb="59">
      <t>ト</t>
    </rPh>
    <phoneticPr fontId="2"/>
  </si>
  <si>
    <t>sukuさんを決めたらooiさんを探すループ処理に入る</t>
    <rPh sb="7" eb="8">
      <t>キ</t>
    </rPh>
    <rPh sb="17" eb="18">
      <t>サガ</t>
    </rPh>
    <rPh sb="22" eb="24">
      <t>ショリ</t>
    </rPh>
    <rPh sb="25" eb="26">
      <t>ハイ</t>
    </rPh>
    <phoneticPr fontId="2"/>
  </si>
  <si>
    <t>候補者の上から順に集計をチェック。4回の人を探します。(先に多すぎる人は調整済みなので、ここではみんな4回以下になっている状態)</t>
    <rPh sb="0" eb="3">
      <t>コウホシャ</t>
    </rPh>
    <rPh sb="4" eb="5">
      <t>ウエ</t>
    </rPh>
    <rPh sb="7" eb="8">
      <t>ジュン</t>
    </rPh>
    <rPh sb="9" eb="11">
      <t>シュウケイ</t>
    </rPh>
    <rPh sb="18" eb="19">
      <t>カイ</t>
    </rPh>
    <rPh sb="20" eb="21">
      <t>ヒト</t>
    </rPh>
    <rPh sb="22" eb="23">
      <t>サガ</t>
    </rPh>
    <rPh sb="28" eb="29">
      <t>サキ</t>
    </rPh>
    <rPh sb="30" eb="31">
      <t>オオ</t>
    </rPh>
    <rPh sb="34" eb="35">
      <t>ヒト</t>
    </rPh>
    <rPh sb="36" eb="38">
      <t>チョウセイ</t>
    </rPh>
    <rPh sb="38" eb="39">
      <t>ズ</t>
    </rPh>
    <rPh sb="52" eb="53">
      <t>カイ</t>
    </rPh>
    <rPh sb="53" eb="55">
      <t>イカ</t>
    </rPh>
    <rPh sb="61" eb="63">
      <t>ジョウタイ</t>
    </rPh>
    <phoneticPr fontId="2"/>
  </si>
  <si>
    <t>見つかった人をooiさんとして、この処理の対象となっているsukuさんとペアを作る。</t>
    <rPh sb="0" eb="1">
      <t>ミ</t>
    </rPh>
    <rPh sb="5" eb="6">
      <t>ヒト</t>
    </rPh>
    <rPh sb="18" eb="20">
      <t>ショリ</t>
    </rPh>
    <rPh sb="21" eb="23">
      <t>タイショウ</t>
    </rPh>
    <rPh sb="39" eb="40">
      <t>ツク</t>
    </rPh>
    <phoneticPr fontId="2"/>
  </si>
  <si>
    <t>ooiさんが見つかってペアができたらこの処理に入る。</t>
    <rPh sb="6" eb="7">
      <t>ミ</t>
    </rPh>
    <rPh sb="20" eb="22">
      <t>ショリ</t>
    </rPh>
    <rPh sb="23" eb="24">
      <t>ハイ</t>
    </rPh>
    <phoneticPr fontId="2"/>
  </si>
  <si>
    <t>・交換をするごとにooiさんとsukuさんの集計を見て、ooiさんが3回になるかsukuさんが3回になったらその時点でループ終了。</t>
    <rPh sb="1" eb="3">
      <t>コウカン</t>
    </rPh>
    <rPh sb="22" eb="24">
      <t>シュウケイ</t>
    </rPh>
    <rPh sb="25" eb="26">
      <t>ミ</t>
    </rPh>
    <rPh sb="35" eb="36">
      <t>カイ</t>
    </rPh>
    <rPh sb="48" eb="49">
      <t>カイ</t>
    </rPh>
    <rPh sb="56" eb="58">
      <t>ジテン</t>
    </rPh>
    <rPh sb="62" eb="64">
      <t>シュウリョウ</t>
    </rPh>
    <phoneticPr fontId="2"/>
  </si>
  <si>
    <t>昼当番</t>
    <rPh sb="0" eb="1">
      <t>ヒル</t>
    </rPh>
    <phoneticPr fontId="2"/>
  </si>
  <si>
    <t>１列(1日)につき、前半1人、後半1人ずつランダムに割り当てます。</t>
    <phoneticPr fontId="2"/>
  </si>
  <si>
    <t>全ての割り当てを行った後、AI列とAJ列の個人の集計をチェックしながら月間の当番回数をならします。</t>
    <rPh sb="0" eb="1">
      <t>スベ</t>
    </rPh>
    <rPh sb="3" eb="4">
      <t>ワ</t>
    </rPh>
    <rPh sb="5" eb="6">
      <t>ア</t>
    </rPh>
    <rPh sb="8" eb="9">
      <t>オコナ</t>
    </rPh>
    <rPh sb="11" eb="12">
      <t>ノチ</t>
    </rPh>
    <rPh sb="15" eb="16">
      <t>レツ</t>
    </rPh>
    <rPh sb="19" eb="20">
      <t>レツ</t>
    </rPh>
    <rPh sb="21" eb="23">
      <t>コジン</t>
    </rPh>
    <rPh sb="24" eb="26">
      <t>シュウケイ</t>
    </rPh>
    <rPh sb="35" eb="37">
      <t>ゲッカン</t>
    </rPh>
    <rPh sb="38" eb="42">
      <t>トウバンカイスウ</t>
    </rPh>
    <phoneticPr fontId="2"/>
  </si>
  <si>
    <t>有休</t>
    <rPh sb="0" eb="2">
      <t>ユウキュウ</t>
    </rPh>
    <phoneticPr fontId="2"/>
  </si>
  <si>
    <t>年休</t>
    <rPh sb="0" eb="2">
      <t>ネンキュウ</t>
    </rPh>
    <phoneticPr fontId="2"/>
  </si>
  <si>
    <t>年休</t>
    <rPh sb="0" eb="2">
      <t>ネンキュウ</t>
    </rPh>
    <phoneticPr fontId="2"/>
  </si>
  <si>
    <t>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</si>
</sst>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d;@"/>
  </numFmts>
  <fonts count="20" x14ac:knownFonts="1">
    <font>
      <sz val="11"/>
      <name val="ＭＳ Ｐゴシック"/>
      <family val="3"/>
      <charset val="128"/>
    </font>
    <font>
      <sz val="11"/>
      <name val="ＭＳ Ｐゴシック"/>
      <family val="3"/>
      <charset val="128"/>
    </font>
    <font>
      <sz val="6"/>
      <name val="ＭＳ Ｐゴシック"/>
      <family val="3"/>
      <charset val="128"/>
    </font>
    <font>
      <sz val="11"/>
      <name val="HG丸ｺﾞｼｯｸM-PRO"/>
      <family val="3"/>
      <charset val="128"/>
    </font>
    <font>
      <sz val="9"/>
      <name val="HG丸ｺﾞｼｯｸM-PRO"/>
      <family val="3"/>
      <charset val="128"/>
    </font>
    <font>
      <b/>
      <sz val="14"/>
      <name val="HG丸ｺﾞｼｯｸM-PRO"/>
      <family val="3"/>
      <charset val="128"/>
    </font>
    <font>
      <b/>
      <sz val="20"/>
      <name val="HGS教科書体"/>
      <family val="1"/>
      <charset val="128"/>
    </font>
    <font>
      <sz val="10"/>
      <name val="HG丸ｺﾞｼｯｸM-PRO"/>
      <family val="3"/>
      <charset val="128"/>
    </font>
    <font>
      <sz val="14"/>
      <name val="HG丸ｺﾞｼｯｸM-PRO"/>
      <family val="3"/>
      <charset val="128"/>
    </font>
    <font>
      <sz val="12"/>
      <name val="HG丸ｺﾞｼｯｸM-PRO"/>
      <family val="3"/>
      <charset val="128"/>
    </font>
    <font>
      <sz val="14"/>
      <color theme="1"/>
      <name val="HG丸ｺﾞｼｯｸM-PRO"/>
      <family val="3"/>
      <charset val="128"/>
    </font>
    <font>
      <sz val="14"/>
      <color rgb="FFFF0000"/>
      <name val="HG丸ｺﾞｼｯｸM-PRO"/>
      <family val="3"/>
      <charset val="128"/>
    </font>
    <font>
      <b/>
      <sz val="14"/>
      <color rgb="FFFF0000"/>
      <name val="HG丸ｺﾞｼｯｸM-PRO"/>
      <family val="3"/>
      <charset val="128"/>
    </font>
    <font>
      <sz val="14"/>
      <name val="ＭＳ Ｐゴシック"/>
      <family val="3"/>
      <charset val="128"/>
      <scheme val="minor"/>
    </font>
    <font>
      <sz val="14"/>
      <color rgb="FF000000"/>
      <name val="ＭＳ Ｐゴシック"/>
      <family val="3"/>
      <charset val="128"/>
      <scheme val="minor"/>
    </font>
    <font>
      <sz val="6"/>
      <name val="ＭＳ Ｐゴシック"/>
      <family val="2"/>
      <charset val="128"/>
    </font>
    <font>
      <sz val="9"/>
      <name val="ＭＳ Ｐゴシック"/>
      <family val="3"/>
      <charset val="128"/>
      <scheme val="minor"/>
    </font>
    <font>
      <b/>
      <sz val="14"/>
      <name val="HGS教科書体"/>
      <family val="1"/>
      <charset val="128"/>
    </font>
    <font>
      <sz val="14"/>
      <color theme="1"/>
      <name val="ＭＳ Ｐゴシック"/>
      <family val="3"/>
      <charset val="128"/>
    </font>
    <font>
      <b/>
      <sz val="16"/>
      <name val="HG丸ｺﾞｼｯｸM-PRO"/>
      <family val="3"/>
      <charset val="128"/>
    </font>
  </fonts>
  <fills count="4">
    <fill>
      <patternFill patternType="none"/>
    </fill>
    <fill>
      <patternFill patternType="gray125"/>
    </fill>
    <fill>
      <patternFill patternType="solid">
        <fgColor rgb="FFFFFF00"/>
        <bgColor indexed="64"/>
      </patternFill>
    </fill>
    <fill>
      <patternFill patternType="solid">
        <fgColor rgb="FFFFFFFF"/>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rgb="FF000000"/>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diagonalDown="1">
      <left style="thin">
        <color rgb="FF000000"/>
      </left>
      <right style="thin">
        <color rgb="FF000000"/>
      </right>
      <top style="thin">
        <color rgb="FF000000"/>
      </top>
      <bottom style="thin">
        <color rgb="FF000000"/>
      </bottom>
      <diagonal style="thin">
        <color indexed="64"/>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diagonalDown="1">
      <left style="medium">
        <color rgb="FF000000"/>
      </left>
      <right style="thin">
        <color rgb="FF000000"/>
      </right>
      <top style="medium">
        <color rgb="FF000000"/>
      </top>
      <bottom style="thin">
        <color rgb="FF000000"/>
      </bottom>
      <diagonal style="thin">
        <color indexed="64"/>
      </diagonal>
    </border>
    <border>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style="thin">
        <color indexed="64"/>
      </left>
      <right style="medium">
        <color rgb="FF000000"/>
      </right>
      <top style="medium">
        <color rgb="FF000000"/>
      </top>
      <bottom style="thin">
        <color indexed="64"/>
      </bottom>
      <diagonal/>
    </border>
    <border diagonalDown="1">
      <left style="medium">
        <color rgb="FF000000"/>
      </left>
      <right style="thin">
        <color rgb="FF000000"/>
      </right>
      <top style="thin">
        <color rgb="FF000000"/>
      </top>
      <bottom style="thin">
        <color rgb="FF000000"/>
      </bottom>
      <diagonal style="thin">
        <color indexed="64"/>
      </diagonal>
    </border>
    <border>
      <left style="thin">
        <color indexed="64"/>
      </left>
      <right style="medium">
        <color rgb="FF000000"/>
      </right>
      <top style="thin">
        <color indexed="64"/>
      </top>
      <bottom style="thin">
        <color indexed="64"/>
      </bottom>
      <diagonal/>
    </border>
    <border>
      <left style="medium">
        <color rgb="FF000000"/>
      </left>
      <right style="thin">
        <color rgb="FF000000"/>
      </right>
      <top style="thin">
        <color rgb="FF000000"/>
      </top>
      <bottom style="thin">
        <color rgb="FF000000"/>
      </bottom>
      <diagonal/>
    </border>
    <border>
      <left style="thin">
        <color indexed="64"/>
      </left>
      <right style="medium">
        <color rgb="FF000000"/>
      </right>
      <top/>
      <bottom style="medium">
        <color indexed="64"/>
      </bottom>
      <diagonal/>
    </border>
    <border>
      <left style="thin">
        <color indexed="64"/>
      </left>
      <right style="medium">
        <color rgb="FF000000"/>
      </right>
      <top style="medium">
        <color indexed="64"/>
      </top>
      <bottom/>
      <diagonal/>
    </border>
    <border>
      <left/>
      <right style="medium">
        <color rgb="FF000000"/>
      </right>
      <top style="medium">
        <color indexed="64"/>
      </top>
      <bottom style="medium">
        <color indexed="64"/>
      </bottom>
      <diagonal/>
    </border>
    <border>
      <left style="thin">
        <color indexed="64"/>
      </left>
      <right style="medium">
        <color rgb="FF000000"/>
      </right>
      <top/>
      <bottom style="thin">
        <color indexed="64"/>
      </bottom>
      <diagonal/>
    </border>
    <border>
      <left style="medium">
        <color rgb="FF000000"/>
      </left>
      <right style="thin">
        <color rgb="FF000000"/>
      </right>
      <top style="thin">
        <color rgb="FF000000"/>
      </top>
      <bottom/>
      <diagonal/>
    </border>
    <border>
      <left style="thin">
        <color indexed="64"/>
      </left>
      <right style="medium">
        <color rgb="FF000000"/>
      </right>
      <top style="thin">
        <color indexed="64"/>
      </top>
      <bottom style="medium">
        <color indexed="64"/>
      </bottom>
      <diagonal/>
    </border>
    <border>
      <left style="medium">
        <color rgb="FF000000"/>
      </left>
      <right style="thin">
        <color rgb="FF000000"/>
      </right>
      <top style="medium">
        <color rgb="FF000000"/>
      </top>
      <bottom style="thin">
        <color rgb="FF000000"/>
      </bottom>
      <diagonal/>
    </border>
    <border>
      <left style="thin">
        <color indexed="64"/>
      </left>
      <right style="medium">
        <color rgb="FF000000"/>
      </right>
      <top style="medium">
        <color indexed="64"/>
      </top>
      <bottom style="thin">
        <color indexed="64"/>
      </bottom>
      <diagonal/>
    </border>
    <border>
      <left style="medium">
        <color rgb="FF000000"/>
      </left>
      <right style="thin">
        <color rgb="FF000000"/>
      </right>
      <top style="thin">
        <color rgb="FF000000"/>
      </top>
      <bottom style="medium">
        <color rgb="FF000000"/>
      </bottom>
      <diagonal/>
    </border>
    <border>
      <left/>
      <right style="thin">
        <color indexed="64"/>
      </right>
      <top style="thin">
        <color indexed="64"/>
      </top>
      <bottom style="medium">
        <color rgb="FF000000"/>
      </bottom>
      <diagonal/>
    </border>
    <border>
      <left style="thin">
        <color indexed="64"/>
      </left>
      <right style="medium">
        <color rgb="FF000000"/>
      </right>
      <top style="thin">
        <color indexed="64"/>
      </top>
      <bottom style="medium">
        <color rgb="FF000000"/>
      </bottom>
      <diagonal/>
    </border>
    <border diagonalDown="1">
      <left style="thin">
        <color rgb="FF000000"/>
      </left>
      <right/>
      <top style="thin">
        <color rgb="FF000000"/>
      </top>
      <bottom style="thin">
        <color rgb="FF000000"/>
      </bottom>
      <diagonal style="thin">
        <color indexed="64"/>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style="medium">
        <color rgb="FF000000"/>
      </right>
      <top style="medium">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right style="thin">
        <color rgb="FF000000"/>
      </right>
      <top style="thin">
        <color rgb="FF000000"/>
      </top>
      <bottom style="medium">
        <color rgb="FF000000"/>
      </bottom>
      <diagonal/>
    </border>
  </borders>
  <cellStyleXfs count="3">
    <xf numFmtId="0" fontId="0" fillId="0" borderId="0">
      <alignment vertical="center"/>
    </xf>
    <xf numFmtId="0" fontId="1" fillId="0" borderId="0"/>
    <xf numFmtId="0" fontId="1" fillId="0" borderId="0">
      <alignment vertical="center"/>
    </xf>
  </cellStyleXfs>
  <cellXfs count="138">
    <xf numFmtId="0" fontId="0" fillId="0" borderId="0" xfId="0">
      <alignment vertical="center"/>
    </xf>
    <xf numFmtId="0" fontId="3" fillId="0" borderId="0" xfId="0" applyFont="1" applyFill="1">
      <alignment vertical="center"/>
    </xf>
    <xf numFmtId="0" fontId="5" fillId="0" borderId="0" xfId="0" applyFont="1" applyFill="1" applyAlignment="1">
      <alignment horizontal="center"/>
    </xf>
    <xf numFmtId="0" fontId="4" fillId="0" borderId="0" xfId="0" applyFont="1" applyFill="1">
      <alignment vertical="center"/>
    </xf>
    <xf numFmtId="0" fontId="7" fillId="0" borderId="0" xfId="0" applyFont="1" applyFill="1" applyAlignment="1">
      <alignment horizontal="center" vertical="center"/>
    </xf>
    <xf numFmtId="0" fontId="5" fillId="0" borderId="0" xfId="0" applyFont="1" applyFill="1" applyAlignment="1">
      <alignment horizontal="center" wrapText="1"/>
    </xf>
    <xf numFmtId="0" fontId="10" fillId="0" borderId="1" xfId="0" applyFont="1" applyFill="1" applyBorder="1" applyAlignment="1">
      <alignment horizontal="center" vertical="center"/>
    </xf>
    <xf numFmtId="0" fontId="8" fillId="0" borderId="0" xfId="0" applyFont="1" applyFill="1" applyAlignment="1">
      <alignment horizontal="center" vertical="center"/>
    </xf>
    <xf numFmtId="0" fontId="14" fillId="0" borderId="2" xfId="0" applyFont="1" applyFill="1" applyBorder="1" applyAlignment="1">
      <alignment vertical="center"/>
    </xf>
    <xf numFmtId="0" fontId="13" fillId="0" borderId="2" xfId="2" applyFont="1" applyFill="1" applyBorder="1" applyAlignment="1">
      <alignment horizontal="center" vertical="center"/>
    </xf>
    <xf numFmtId="0" fontId="14" fillId="0" borderId="1" xfId="0" applyFont="1" applyFill="1" applyBorder="1" applyAlignment="1">
      <alignment vertical="center"/>
    </xf>
    <xf numFmtId="0" fontId="13" fillId="0" borderId="1" xfId="2" applyFont="1" applyFill="1" applyBorder="1" applyAlignment="1">
      <alignment horizontal="center" vertical="center" wrapText="1"/>
    </xf>
    <xf numFmtId="0" fontId="13" fillId="0" borderId="1" xfId="1" applyFont="1" applyFill="1" applyBorder="1" applyAlignment="1">
      <alignment horizontal="center" vertical="center" wrapText="1" shrinkToFit="1"/>
    </xf>
    <xf numFmtId="0" fontId="13" fillId="0" borderId="1" xfId="1" applyFont="1" applyFill="1" applyBorder="1" applyAlignment="1">
      <alignment horizontal="center" vertical="center" shrinkToFit="1"/>
    </xf>
    <xf numFmtId="0" fontId="13" fillId="0" borderId="1" xfId="0" applyFont="1" applyFill="1" applyBorder="1" applyAlignment="1">
      <alignment horizontal="center" vertical="center" wrapText="1"/>
    </xf>
    <xf numFmtId="0" fontId="16" fillId="0" borderId="1" xfId="2" applyFont="1" applyFill="1" applyBorder="1" applyAlignment="1">
      <alignment horizontal="center" vertical="center" wrapText="1"/>
    </xf>
    <xf numFmtId="0" fontId="8" fillId="0" borderId="0" xfId="0" applyFont="1" applyFill="1">
      <alignment vertical="center"/>
    </xf>
    <xf numFmtId="49" fontId="17" fillId="0" borderId="0" xfId="0" applyNumberFormat="1" applyFont="1" applyFill="1" applyAlignment="1">
      <alignment vertical="center"/>
    </xf>
    <xf numFmtId="0" fontId="8" fillId="0" borderId="0" xfId="0" applyFont="1" applyFill="1" applyAlignment="1">
      <alignment horizontal="center"/>
    </xf>
    <xf numFmtId="0" fontId="9" fillId="0" borderId="8" xfId="2" applyFont="1" applyFill="1" applyBorder="1" applyAlignment="1">
      <alignment horizontal="center" vertical="center"/>
    </xf>
    <xf numFmtId="20" fontId="0" fillId="0" borderId="0" xfId="0" applyNumberFormat="1" applyAlignment="1">
      <alignment horizontal="left" vertical="center"/>
    </xf>
    <xf numFmtId="0" fontId="4" fillId="0" borderId="0" xfId="0" applyFont="1" applyFill="1" applyAlignment="1">
      <alignment horizontal="center" vertical="center"/>
    </xf>
    <xf numFmtId="55" fontId="6" fillId="0" borderId="0" xfId="0" applyNumberFormat="1" applyFont="1" applyFill="1" applyAlignment="1">
      <alignment horizontal="center" vertical="center"/>
    </xf>
    <xf numFmtId="0" fontId="6" fillId="0" borderId="0" xfId="0" applyFont="1" applyFill="1" applyAlignment="1">
      <alignment horizontal="center" vertical="center"/>
    </xf>
    <xf numFmtId="0" fontId="6" fillId="0" borderId="0" xfId="0" applyFont="1" applyFill="1" applyBorder="1" applyAlignment="1">
      <alignment horizontal="center" vertical="center"/>
    </xf>
    <xf numFmtId="0" fontId="9" fillId="0" borderId="11" xfId="2" applyFont="1" applyFill="1" applyBorder="1" applyAlignment="1">
      <alignment horizontal="center" vertical="center"/>
    </xf>
    <xf numFmtId="0" fontId="9" fillId="0" borderId="11" xfId="1" applyFont="1" applyFill="1" applyBorder="1" applyAlignment="1">
      <alignment horizontal="center" vertical="center" shrinkToFit="1"/>
    </xf>
    <xf numFmtId="0" fontId="9" fillId="0" borderId="8" xfId="0" applyFont="1" applyFill="1" applyBorder="1" applyAlignment="1">
      <alignment horizontal="center" vertical="center"/>
    </xf>
    <xf numFmtId="0" fontId="9" fillId="0" borderId="12" xfId="2" applyFont="1" applyFill="1" applyBorder="1" applyAlignment="1">
      <alignment horizontal="center" vertical="center"/>
    </xf>
    <xf numFmtId="0" fontId="19" fillId="0" borderId="0" xfId="0" applyFont="1" applyFill="1" applyAlignment="1">
      <alignment horizontal="right" vertical="center"/>
    </xf>
    <xf numFmtId="0" fontId="6" fillId="2" borderId="0" xfId="0" applyFont="1" applyFill="1" applyBorder="1" applyAlignment="1">
      <alignment horizontal="center" vertical="center"/>
    </xf>
    <xf numFmtId="0" fontId="10" fillId="3" borderId="13" xfId="0" applyFont="1" applyFill="1" applyBorder="1" applyAlignment="1">
      <alignment horizontal="center" vertical="center" shrinkToFit="1"/>
    </xf>
    <xf numFmtId="0" fontId="10" fillId="3" borderId="10" xfId="0" applyFont="1" applyFill="1" applyBorder="1" applyAlignment="1">
      <alignment horizontal="center" vertical="center" shrinkToFit="1"/>
    </xf>
    <xf numFmtId="0" fontId="8" fillId="3" borderId="10" xfId="0" applyFont="1" applyFill="1" applyBorder="1" applyAlignment="1">
      <alignment horizontal="center" vertical="center" shrinkToFit="1"/>
    </xf>
    <xf numFmtId="0" fontId="10" fillId="3" borderId="9" xfId="0" applyFont="1" applyFill="1" applyBorder="1" applyAlignment="1">
      <alignment horizontal="center" vertical="center" shrinkToFit="1"/>
    </xf>
    <xf numFmtId="0" fontId="8" fillId="3" borderId="10" xfId="2" applyFont="1" applyFill="1" applyBorder="1" applyAlignment="1">
      <alignment horizontal="center" vertical="center" shrinkToFit="1"/>
    </xf>
    <xf numFmtId="0" fontId="11" fillId="3" borderId="10" xfId="2" applyFont="1" applyFill="1" applyBorder="1" applyAlignment="1">
      <alignment horizontal="center" vertical="center" shrinkToFit="1"/>
    </xf>
    <xf numFmtId="0" fontId="10" fillId="3" borderId="10" xfId="2" applyFont="1" applyFill="1" applyBorder="1" applyAlignment="1">
      <alignment horizontal="center" vertical="center" shrinkToFit="1"/>
    </xf>
    <xf numFmtId="0" fontId="10" fillId="3" borderId="1" xfId="0" applyFont="1" applyFill="1" applyBorder="1" applyAlignment="1">
      <alignment horizontal="center" vertical="center" shrinkToFit="1"/>
    </xf>
    <xf numFmtId="0" fontId="8" fillId="3" borderId="1" xfId="2" applyFont="1" applyFill="1" applyBorder="1" applyAlignment="1">
      <alignment horizontal="center" vertical="center" shrinkToFit="1"/>
    </xf>
    <xf numFmtId="0" fontId="10" fillId="3" borderId="1" xfId="2" applyFont="1" applyFill="1" applyBorder="1" applyAlignment="1">
      <alignment horizontal="center" vertical="center" shrinkToFit="1"/>
    </xf>
    <xf numFmtId="0" fontId="11" fillId="3" borderId="1" xfId="0" applyFont="1" applyFill="1" applyBorder="1" applyAlignment="1">
      <alignment horizontal="center" vertical="center" shrinkToFit="1"/>
    </xf>
    <xf numFmtId="0" fontId="8" fillId="3" borderId="1" xfId="0" applyFont="1" applyFill="1" applyBorder="1" applyAlignment="1">
      <alignment horizontal="center" vertical="center" shrinkToFit="1"/>
    </xf>
    <xf numFmtId="0" fontId="11" fillId="3" borderId="1" xfId="2" applyFont="1" applyFill="1" applyBorder="1" applyAlignment="1">
      <alignment horizontal="center" vertical="center" shrinkToFit="1"/>
    </xf>
    <xf numFmtId="20" fontId="10" fillId="3" borderId="1" xfId="0" applyNumberFormat="1" applyFont="1" applyFill="1" applyBorder="1" applyAlignment="1">
      <alignment horizontal="center" vertical="center" shrinkToFit="1"/>
    </xf>
    <xf numFmtId="0" fontId="12" fillId="3" borderId="1" xfId="0" applyFont="1" applyFill="1" applyBorder="1" applyAlignment="1">
      <alignment horizontal="center" vertical="center" shrinkToFit="1"/>
    </xf>
    <xf numFmtId="0" fontId="12" fillId="3" borderId="1" xfId="2" applyFont="1" applyFill="1" applyBorder="1" applyAlignment="1">
      <alignment horizontal="center" vertical="center" shrinkToFit="1"/>
    </xf>
    <xf numFmtId="0" fontId="10" fillId="3" borderId="1" xfId="0" applyFont="1" applyFill="1" applyBorder="1" applyAlignment="1">
      <alignment vertical="center" shrinkToFit="1"/>
    </xf>
    <xf numFmtId="0" fontId="10" fillId="3" borderId="2" xfId="0" applyFont="1" applyFill="1" applyBorder="1" applyAlignment="1">
      <alignment horizontal="center" vertical="center" shrinkToFit="1"/>
    </xf>
    <xf numFmtId="0" fontId="8" fillId="3" borderId="2" xfId="0" applyFont="1" applyFill="1" applyBorder="1" applyAlignment="1">
      <alignment horizontal="center" vertical="center" shrinkToFit="1"/>
    </xf>
    <xf numFmtId="0" fontId="8" fillId="3" borderId="2" xfId="2" applyFont="1" applyFill="1" applyBorder="1" applyAlignment="1">
      <alignment horizontal="center" vertical="center" shrinkToFit="1"/>
    </xf>
    <xf numFmtId="0" fontId="10" fillId="3" borderId="2" xfId="2" applyFont="1" applyFill="1" applyBorder="1" applyAlignment="1">
      <alignment horizontal="center" vertical="center" shrinkToFit="1"/>
    </xf>
    <xf numFmtId="0" fontId="11" fillId="3" borderId="2" xfId="2" applyFont="1" applyFill="1" applyBorder="1" applyAlignment="1">
      <alignment horizontal="center" vertical="center" shrinkToFit="1"/>
    </xf>
    <xf numFmtId="0" fontId="10" fillId="3" borderId="3" xfId="0" applyFont="1" applyFill="1" applyBorder="1" applyAlignment="1">
      <alignment horizontal="center" vertical="center" shrinkToFit="1"/>
    </xf>
    <xf numFmtId="0" fontId="10" fillId="3" borderId="4" xfId="0" applyFont="1" applyFill="1" applyBorder="1" applyAlignment="1">
      <alignment horizontal="center" vertical="center" shrinkToFit="1"/>
    </xf>
    <xf numFmtId="0" fontId="10" fillId="3" borderId="14" xfId="0" applyFont="1" applyFill="1" applyBorder="1" applyAlignment="1">
      <alignment horizontal="center" vertical="center" shrinkToFit="1"/>
    </xf>
    <xf numFmtId="0" fontId="10" fillId="3" borderId="15" xfId="0" applyFont="1" applyFill="1" applyBorder="1" applyAlignment="1">
      <alignment horizontal="center" vertical="center" shrinkToFit="1"/>
    </xf>
    <xf numFmtId="0" fontId="8" fillId="3" borderId="14" xfId="2" applyFont="1" applyFill="1" applyBorder="1" applyAlignment="1">
      <alignment horizontal="center" vertical="center" shrinkToFit="1"/>
    </xf>
    <xf numFmtId="0" fontId="10" fillId="3" borderId="14" xfId="2" applyFont="1" applyFill="1" applyBorder="1" applyAlignment="1">
      <alignment horizontal="center" vertical="center" shrinkToFit="1"/>
    </xf>
    <xf numFmtId="0" fontId="10" fillId="3" borderId="7" xfId="0" applyFont="1" applyFill="1" applyBorder="1" applyAlignment="1">
      <alignment horizontal="center" vertical="center" shrinkToFit="1"/>
    </xf>
    <xf numFmtId="0" fontId="8" fillId="3" borderId="3" xfId="2" applyFont="1" applyFill="1" applyBorder="1" applyAlignment="1">
      <alignment horizontal="center" vertical="center" shrinkToFit="1"/>
    </xf>
    <xf numFmtId="0" fontId="10" fillId="3" borderId="3" xfId="2" applyFont="1" applyFill="1" applyBorder="1" applyAlignment="1">
      <alignment horizontal="center" vertical="center" shrinkToFit="1"/>
    </xf>
    <xf numFmtId="0" fontId="11" fillId="3" borderId="3" xfId="0" applyFont="1" applyFill="1" applyBorder="1" applyAlignment="1">
      <alignment horizontal="center" vertical="center" shrinkToFit="1"/>
    </xf>
    <xf numFmtId="0" fontId="10" fillId="3" borderId="16" xfId="0" applyFont="1" applyFill="1" applyBorder="1" applyAlignment="1">
      <alignment horizontal="center" vertical="center" shrinkToFit="1"/>
    </xf>
    <xf numFmtId="0" fontId="10" fillId="3" borderId="17" xfId="0" applyFont="1" applyFill="1" applyBorder="1" applyAlignment="1">
      <alignment horizontal="center" vertical="center" shrinkToFit="1"/>
    </xf>
    <xf numFmtId="0" fontId="8" fillId="3" borderId="6" xfId="0" applyFont="1" applyFill="1" applyBorder="1" applyAlignment="1">
      <alignment horizontal="center" vertical="center"/>
    </xf>
    <xf numFmtId="0" fontId="8" fillId="3" borderId="1" xfId="0" applyFont="1" applyFill="1" applyBorder="1" applyAlignment="1">
      <alignment horizontal="center" vertical="center"/>
    </xf>
    <xf numFmtId="0" fontId="13" fillId="0" borderId="18" xfId="2" applyFont="1" applyFill="1" applyBorder="1" applyAlignment="1">
      <alignment horizontal="center" vertical="center"/>
    </xf>
    <xf numFmtId="0" fontId="13" fillId="0" borderId="19" xfId="2" applyFont="1" applyFill="1" applyBorder="1" applyAlignment="1">
      <alignment horizontal="center" vertical="center" wrapText="1"/>
    </xf>
    <xf numFmtId="0" fontId="13" fillId="0" borderId="20" xfId="2" applyFont="1" applyFill="1" applyBorder="1" applyAlignment="1">
      <alignment horizontal="center" vertical="center" wrapText="1"/>
    </xf>
    <xf numFmtId="0" fontId="13" fillId="0" borderId="20" xfId="1" applyFont="1" applyFill="1" applyBorder="1" applyAlignment="1">
      <alignment horizontal="center" vertical="center" wrapText="1" shrinkToFit="1"/>
    </xf>
    <xf numFmtId="0" fontId="13" fillId="0" borderId="20" xfId="1" applyFont="1" applyFill="1" applyBorder="1" applyAlignment="1">
      <alignment horizontal="center" vertical="center" shrinkToFit="1"/>
    </xf>
    <xf numFmtId="0" fontId="13" fillId="0" borderId="19" xfId="0" applyFont="1" applyFill="1" applyBorder="1" applyAlignment="1">
      <alignment horizontal="center" vertical="center" wrapText="1"/>
    </xf>
    <xf numFmtId="0" fontId="16" fillId="0" borderId="19" xfId="2" applyFont="1" applyFill="1" applyBorder="1" applyAlignment="1">
      <alignment horizontal="center" vertical="center" wrapText="1"/>
    </xf>
    <xf numFmtId="0" fontId="10" fillId="3" borderId="2" xfId="0" applyFont="1" applyFill="1" applyBorder="1" applyAlignment="1">
      <alignment horizontal="center" vertical="center" wrapText="1" shrinkToFit="1"/>
    </xf>
    <xf numFmtId="0" fontId="8" fillId="3" borderId="14" xfId="0" applyFont="1" applyFill="1" applyBorder="1" applyAlignment="1">
      <alignment horizontal="center" vertical="center"/>
    </xf>
    <xf numFmtId="0" fontId="8" fillId="3" borderId="21"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23" xfId="0" applyFont="1" applyFill="1" applyBorder="1" applyAlignment="1">
      <alignment horizontal="center" vertical="center"/>
    </xf>
    <xf numFmtId="0" fontId="8" fillId="3" borderId="24" xfId="0" applyFont="1" applyFill="1" applyBorder="1" applyAlignment="1">
      <alignment horizontal="center" vertical="center"/>
    </xf>
    <xf numFmtId="0" fontId="13" fillId="0" borderId="26" xfId="2" applyFont="1" applyFill="1" applyBorder="1" applyAlignment="1">
      <alignment horizontal="center"/>
    </xf>
    <xf numFmtId="0" fontId="13" fillId="0" borderId="25" xfId="0" applyFont="1" applyFill="1" applyBorder="1" applyAlignment="1">
      <alignment horizontal="right" vertical="center"/>
    </xf>
    <xf numFmtId="0" fontId="13" fillId="0" borderId="25" xfId="0" applyFont="1" applyFill="1" applyBorder="1" applyAlignment="1">
      <alignment horizontal="center" vertical="center"/>
    </xf>
    <xf numFmtId="0" fontId="13" fillId="0" borderId="25" xfId="2" applyFont="1" applyFill="1" applyBorder="1" applyAlignment="1">
      <alignment horizontal="center" vertical="center"/>
    </xf>
    <xf numFmtId="0" fontId="14" fillId="0" borderId="25" xfId="0" applyFont="1" applyFill="1" applyBorder="1" applyAlignment="1">
      <alignment vertical="center"/>
    </xf>
    <xf numFmtId="0" fontId="13" fillId="0" borderId="25" xfId="2" applyFont="1" applyFill="1" applyBorder="1" applyAlignment="1">
      <alignment horizontal="center" vertical="center" wrapText="1"/>
    </xf>
    <xf numFmtId="0" fontId="13" fillId="0" borderId="25" xfId="1" applyFont="1" applyFill="1" applyBorder="1" applyAlignment="1">
      <alignment horizontal="center" vertical="center" wrapText="1" shrinkToFit="1"/>
    </xf>
    <xf numFmtId="0" fontId="13" fillId="0" borderId="25" xfId="1" applyFont="1" applyFill="1" applyBorder="1" applyAlignment="1">
      <alignment horizontal="center" vertical="center" shrinkToFit="1"/>
    </xf>
    <xf numFmtId="0" fontId="13" fillId="0" borderId="25" xfId="0" applyFont="1" applyFill="1" applyBorder="1" applyAlignment="1">
      <alignment horizontal="center" vertical="center" wrapText="1"/>
    </xf>
    <xf numFmtId="0" fontId="16" fillId="0" borderId="25" xfId="2" applyFont="1" applyFill="1" applyBorder="1" applyAlignment="1">
      <alignment horizontal="center" vertical="center" wrapText="1"/>
    </xf>
    <xf numFmtId="0" fontId="10" fillId="0" borderId="24" xfId="0" applyFont="1" applyFill="1" applyBorder="1" applyAlignment="1">
      <alignment horizontal="center" vertical="center"/>
    </xf>
    <xf numFmtId="0" fontId="10" fillId="3" borderId="27" xfId="0" applyFont="1" applyFill="1" applyBorder="1" applyAlignment="1">
      <alignment horizontal="center" vertical="center" shrinkToFit="1"/>
    </xf>
    <xf numFmtId="0" fontId="10" fillId="3" borderId="24" xfId="0" applyFont="1" applyFill="1" applyBorder="1" applyAlignment="1">
      <alignment horizontal="center" vertical="center" shrinkToFit="1"/>
    </xf>
    <xf numFmtId="0" fontId="18" fillId="3" borderId="24" xfId="0" applyFont="1" applyFill="1" applyBorder="1" applyAlignment="1">
      <alignment horizontal="center" vertical="center" shrinkToFit="1"/>
    </xf>
    <xf numFmtId="0" fontId="10" fillId="3" borderId="24" xfId="2" applyFont="1" applyFill="1" applyBorder="1" applyAlignment="1">
      <alignment horizontal="center" vertical="center" shrinkToFit="1"/>
    </xf>
    <xf numFmtId="0" fontId="10" fillId="3" borderId="28" xfId="0" applyFont="1" applyFill="1" applyBorder="1" applyAlignment="1">
      <alignment horizontal="center" vertical="center" shrinkToFit="1"/>
    </xf>
    <xf numFmtId="0" fontId="14" fillId="0" borderId="3" xfId="0" applyFont="1" applyFill="1" applyBorder="1" applyAlignment="1">
      <alignment vertical="center"/>
    </xf>
    <xf numFmtId="0" fontId="13" fillId="0" borderId="5" xfId="2" applyFont="1" applyFill="1" applyBorder="1" applyAlignment="1">
      <alignment horizontal="center" vertical="center" wrapText="1"/>
    </xf>
    <xf numFmtId="0" fontId="5" fillId="0" borderId="29" xfId="0" applyFont="1" applyFill="1" applyBorder="1" applyAlignment="1">
      <alignment horizontal="center" vertical="center"/>
    </xf>
    <xf numFmtId="0" fontId="13" fillId="0" borderId="30" xfId="2" applyFont="1" applyFill="1" applyBorder="1" applyAlignment="1">
      <alignment horizontal="center" vertical="center"/>
    </xf>
    <xf numFmtId="0" fontId="14" fillId="0" borderId="31" xfId="0" applyFont="1" applyFill="1" applyBorder="1" applyAlignment="1">
      <alignment vertical="center"/>
    </xf>
    <xf numFmtId="0" fontId="14" fillId="0" borderId="25" xfId="0" applyFont="1" applyFill="1" applyBorder="1" applyAlignment="1">
      <alignment horizontal="center" vertical="center"/>
    </xf>
    <xf numFmtId="0" fontId="14" fillId="0" borderId="30" xfId="0" applyFont="1" applyFill="1" applyBorder="1" applyAlignment="1">
      <alignment horizontal="center" vertical="center"/>
    </xf>
    <xf numFmtId="176" fontId="10" fillId="0" borderId="33" xfId="2" applyNumberFormat="1" applyFont="1" applyFill="1" applyBorder="1" applyAlignment="1">
      <alignment horizontal="center" vertical="center" shrinkToFit="1"/>
    </xf>
    <xf numFmtId="176" fontId="10" fillId="0" borderId="34" xfId="2" applyNumberFormat="1" applyFont="1" applyFill="1" applyBorder="1" applyAlignment="1">
      <alignment horizontal="center" vertical="center" shrinkToFit="1"/>
    </xf>
    <xf numFmtId="176" fontId="10" fillId="0" borderId="35" xfId="2" applyNumberFormat="1" applyFont="1" applyFill="1" applyBorder="1" applyAlignment="1">
      <alignment horizontal="center" vertical="center" shrinkToFit="1"/>
    </xf>
    <xf numFmtId="0" fontId="10" fillId="0" borderId="37" xfId="0" applyFont="1" applyFill="1" applyBorder="1" applyAlignment="1">
      <alignment horizontal="center" vertical="center"/>
    </xf>
    <xf numFmtId="0" fontId="9" fillId="0" borderId="38" xfId="2" applyFont="1" applyFill="1" applyBorder="1" applyAlignment="1">
      <alignment horizontal="center" vertical="center"/>
    </xf>
    <xf numFmtId="0" fontId="8" fillId="3" borderId="39" xfId="0" applyFont="1" applyFill="1" applyBorder="1" applyAlignment="1">
      <alignment horizontal="center" vertical="center" shrinkToFit="1"/>
    </xf>
    <xf numFmtId="0" fontId="8" fillId="3" borderId="40" xfId="0" applyFont="1" applyFill="1" applyBorder="1" applyAlignment="1">
      <alignment horizontal="center" vertical="center" shrinkToFit="1"/>
    </xf>
    <xf numFmtId="0" fontId="10" fillId="3" borderId="41" xfId="0" applyFont="1" applyFill="1" applyBorder="1" applyAlignment="1">
      <alignment horizontal="center" vertical="center" shrinkToFit="1"/>
    </xf>
    <xf numFmtId="0" fontId="8" fillId="3" borderId="42" xfId="0" applyFont="1" applyFill="1" applyBorder="1" applyAlignment="1">
      <alignment horizontal="center" vertical="center" shrinkToFit="1"/>
    </xf>
    <xf numFmtId="0" fontId="8" fillId="3" borderId="37" xfId="0" applyFont="1" applyFill="1" applyBorder="1" applyAlignment="1">
      <alignment horizontal="center" vertical="center" shrinkToFit="1"/>
    </xf>
    <xf numFmtId="0" fontId="9" fillId="0" borderId="38" xfId="1" applyFont="1" applyFill="1" applyBorder="1" applyAlignment="1">
      <alignment horizontal="center" vertical="center" shrinkToFit="1"/>
    </xf>
    <xf numFmtId="0" fontId="9" fillId="0" borderId="38" xfId="0" applyFont="1" applyFill="1" applyBorder="1" applyAlignment="1">
      <alignment horizontal="center" vertical="center"/>
    </xf>
    <xf numFmtId="0" fontId="9" fillId="0" borderId="43" xfId="2" applyFont="1" applyFill="1" applyBorder="1" applyAlignment="1">
      <alignment horizontal="center" vertical="center"/>
    </xf>
    <xf numFmtId="0" fontId="8" fillId="3" borderId="44" xfId="0" applyFont="1" applyFill="1" applyBorder="1" applyAlignment="1">
      <alignment horizontal="center" vertical="center" shrinkToFit="1"/>
    </xf>
    <xf numFmtId="0" fontId="8" fillId="3" borderId="46" xfId="0" applyFont="1" applyFill="1" applyBorder="1" applyAlignment="1">
      <alignment horizontal="center" vertical="center"/>
    </xf>
    <xf numFmtId="0" fontId="8" fillId="3" borderId="37" xfId="0" applyFont="1" applyFill="1" applyBorder="1" applyAlignment="1">
      <alignment horizontal="center" vertical="center"/>
    </xf>
    <xf numFmtId="0" fontId="8" fillId="3" borderId="48" xfId="0" applyFont="1" applyFill="1" applyBorder="1" applyAlignment="1">
      <alignment horizontal="center" vertical="center"/>
    </xf>
    <xf numFmtId="0" fontId="8" fillId="3" borderId="22" xfId="0" applyFont="1" applyFill="1" applyBorder="1" applyAlignment="1">
      <alignment horizontal="center" vertical="center"/>
    </xf>
    <xf numFmtId="0" fontId="8" fillId="3" borderId="49" xfId="0" applyFont="1" applyFill="1" applyBorder="1" applyAlignment="1">
      <alignment horizontal="center" vertical="center"/>
    </xf>
    <xf numFmtId="0" fontId="13" fillId="0" borderId="50" xfId="2" applyFont="1" applyFill="1" applyBorder="1" applyAlignment="1">
      <alignment horizontal="center"/>
    </xf>
    <xf numFmtId="0" fontId="13" fillId="0" borderId="51" xfId="0" applyFont="1" applyFill="1" applyBorder="1" applyAlignment="1">
      <alignment horizontal="right" vertical="center"/>
    </xf>
    <xf numFmtId="0" fontId="13" fillId="0" borderId="51" xfId="2" quotePrefix="1" applyFont="1" applyFill="1" applyBorder="1" applyAlignment="1">
      <alignment horizontal="center" vertical="center"/>
    </xf>
    <xf numFmtId="0" fontId="13" fillId="0" borderId="51" xfId="2" applyFont="1" applyFill="1" applyBorder="1" applyAlignment="1">
      <alignment horizontal="center" vertical="center"/>
    </xf>
    <xf numFmtId="0" fontId="13" fillId="0" borderId="52" xfId="2" quotePrefix="1" applyFont="1" applyFill="1" applyBorder="1" applyAlignment="1">
      <alignment horizontal="center" vertical="center"/>
    </xf>
    <xf numFmtId="0" fontId="13" fillId="0" borderId="45" xfId="0" applyFont="1" applyFill="1" applyBorder="1" applyAlignment="1">
      <alignment horizontal="center" vertical="center"/>
    </xf>
    <xf numFmtId="0" fontId="13" fillId="0" borderId="53" xfId="0" applyFont="1" applyFill="1" applyBorder="1" applyAlignment="1">
      <alignment horizontal="center" vertical="center"/>
    </xf>
    <xf numFmtId="0" fontId="13" fillId="0" borderId="38" xfId="0" applyFont="1" applyFill="1" applyBorder="1" applyAlignment="1">
      <alignment horizontal="center" vertical="center"/>
    </xf>
    <xf numFmtId="0" fontId="13" fillId="0" borderId="54" xfId="0" applyFont="1" applyFill="1" applyBorder="1" applyAlignment="1">
      <alignment horizontal="center" vertical="center"/>
    </xf>
    <xf numFmtId="0" fontId="13" fillId="0" borderId="47" xfId="0" applyFont="1" applyFill="1" applyBorder="1" applyAlignment="1">
      <alignment horizontal="center" vertical="center"/>
    </xf>
    <xf numFmtId="0" fontId="14" fillId="0" borderId="55" xfId="0" applyFont="1" applyFill="1" applyBorder="1" applyAlignment="1">
      <alignment vertical="center"/>
    </xf>
    <xf numFmtId="0" fontId="13" fillId="0" borderId="56" xfId="0" applyFont="1" applyFill="1" applyBorder="1" applyAlignment="1">
      <alignment horizontal="center" vertical="center"/>
    </xf>
    <xf numFmtId="0" fontId="5" fillId="0" borderId="57" xfId="0" applyFont="1" applyFill="1" applyBorder="1" applyAlignment="1">
      <alignment horizontal="center" vertical="center"/>
    </xf>
    <xf numFmtId="0" fontId="5" fillId="0" borderId="58" xfId="0" applyFont="1" applyFill="1" applyBorder="1" applyAlignment="1">
      <alignment horizontal="center" vertical="center"/>
    </xf>
    <xf numFmtId="0" fontId="8" fillId="0" borderId="32" xfId="2" applyFont="1" applyFill="1" applyBorder="1" applyAlignment="1">
      <alignment horizontal="center"/>
    </xf>
    <xf numFmtId="0" fontId="8" fillId="0" borderId="36" xfId="2" applyFont="1" applyFill="1" applyBorder="1" applyAlignment="1">
      <alignment horizontal="center"/>
    </xf>
  </cellXfs>
  <cellStyles count="3">
    <cellStyle name="標準" xfId="0" builtinId="0"/>
    <cellStyle name="標準 2" xfId="1" xr:uid="{00000000-0005-0000-0000-000001000000}"/>
    <cellStyle name="標準 3" xfId="2" xr:uid="{00000000-0005-0000-0000-000002000000}"/>
  </cellStyles>
  <dxfs count="13">
    <dxf>
      <fill>
        <patternFill>
          <bgColor rgb="FFFFFF00"/>
        </patternFill>
      </fill>
    </dxf>
    <dxf>
      <fill>
        <patternFill>
          <bgColor rgb="FFFFC000"/>
        </patternFill>
      </fill>
    </dxf>
    <dxf>
      <numFmt numFmtId="0" formatCode="General"/>
      <fill>
        <patternFill>
          <bgColor theme="4" tint="0.79998168889431442"/>
        </patternFill>
      </fill>
    </dxf>
    <dxf>
      <fill>
        <patternFill>
          <bgColor theme="4" tint="0.59996337778862885"/>
        </patternFill>
      </fill>
    </dxf>
    <dxf>
      <numFmt numFmtId="0" formatCode="General"/>
      <fill>
        <patternFill>
          <bgColor theme="4" tint="0.79998168889431442"/>
        </patternFill>
      </fill>
    </dxf>
    <dxf>
      <fill>
        <patternFill>
          <bgColor theme="4" tint="0.59996337778862885"/>
        </patternFill>
      </fill>
    </dxf>
    <dxf>
      <fill>
        <patternFill>
          <bgColor rgb="FFFFFF00"/>
        </patternFill>
      </fill>
    </dxf>
    <dxf>
      <fill>
        <patternFill>
          <bgColor rgb="FFFFC000"/>
        </patternFill>
      </fill>
    </dxf>
    <dxf>
      <numFmt numFmtId="0" formatCode="General"/>
      <fill>
        <patternFill>
          <bgColor theme="4" tint="0.79998168889431442"/>
        </patternFill>
      </fill>
    </dxf>
    <dxf>
      <fill>
        <patternFill>
          <bgColor theme="4" tint="0.59996337778862885"/>
        </patternFill>
      </fill>
    </dxf>
    <dxf>
      <fill>
        <patternFill>
          <bgColor rgb="FFFF0000"/>
        </patternFill>
      </fill>
    </dxf>
    <dxf>
      <fill>
        <patternFill>
          <bgColor theme="4" tint="0.79998168889431442"/>
        </patternFill>
      </fill>
    </dxf>
    <dxf>
      <numFmt numFmtId="176" formatCode="m/d;@"/>
      <fill>
        <patternFill>
          <bgColor theme="4" tint="0.59996337778862885"/>
        </patternFill>
      </fill>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129540</xdr:colOff>
          <xdr:row>0</xdr:row>
          <xdr:rowOff>137160</xdr:rowOff>
        </xdr:from>
        <xdr:to>
          <xdr:col>26</xdr:col>
          <xdr:colOff>38100</xdr:colOff>
          <xdr:row>1</xdr:row>
          <xdr:rowOff>205740</xdr:rowOff>
        </xdr:to>
        <xdr:sp macro="" textlink="">
          <xdr:nvSpPr>
            <xdr:cNvPr id="1029" name="CommandButton1"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167640</xdr:colOff>
          <xdr:row>0</xdr:row>
          <xdr:rowOff>114300</xdr:rowOff>
        </xdr:from>
        <xdr:to>
          <xdr:col>30</xdr:col>
          <xdr:colOff>76200</xdr:colOff>
          <xdr:row>1</xdr:row>
          <xdr:rowOff>182880</xdr:rowOff>
        </xdr:to>
        <xdr:sp macro="" textlink="">
          <xdr:nvSpPr>
            <xdr:cNvPr id="1030" name="CommandButton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205740</xdr:colOff>
          <xdr:row>0</xdr:row>
          <xdr:rowOff>114300</xdr:rowOff>
        </xdr:from>
        <xdr:to>
          <xdr:col>34</xdr:col>
          <xdr:colOff>114300</xdr:colOff>
          <xdr:row>1</xdr:row>
          <xdr:rowOff>182880</xdr:rowOff>
        </xdr:to>
        <xdr:sp macro="" textlink="">
          <xdr:nvSpPr>
            <xdr:cNvPr id="1031" name="CommandButton3"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106680</xdr:colOff>
          <xdr:row>0</xdr:row>
          <xdr:rowOff>152400</xdr:rowOff>
        </xdr:from>
        <xdr:to>
          <xdr:col>19</xdr:col>
          <xdr:colOff>15240</xdr:colOff>
          <xdr:row>1</xdr:row>
          <xdr:rowOff>220980</xdr:rowOff>
        </xdr:to>
        <xdr:sp macro="" textlink="">
          <xdr:nvSpPr>
            <xdr:cNvPr id="1149" name="CommandButton4"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175260</xdr:colOff>
      <xdr:row>1</xdr:row>
      <xdr:rowOff>91440</xdr:rowOff>
    </xdr:from>
    <xdr:to>
      <xdr:col>19</xdr:col>
      <xdr:colOff>182880</xdr:colOff>
      <xdr:row>16</xdr:row>
      <xdr:rowOff>137160</xdr:rowOff>
    </xdr:to>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6065520" y="259080"/>
          <a:ext cx="5593080" cy="2560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ja-JP" altLang="en-US" sz="1600">
              <a:solidFill>
                <a:schemeClr val="dk1"/>
              </a:solidFill>
              <a:effectLst/>
              <a:latin typeface="+mn-lt"/>
              <a:ea typeface="+mn-ea"/>
              <a:cs typeface="+mn-cs"/>
            </a:rPr>
            <a:t>使い方</a:t>
          </a:r>
          <a:endParaRPr lang="en-US" altLang="ja-JP" sz="1100">
            <a:solidFill>
              <a:schemeClr val="dk1"/>
            </a:solidFill>
            <a:effectLst/>
            <a:latin typeface="+mn-lt"/>
            <a:ea typeface="+mn-ea"/>
            <a:cs typeface="+mn-cs"/>
          </a:endParaRPr>
        </a:p>
        <a:p>
          <a:r>
            <a:rPr lang="ja-JP" altLang="en-US" sz="1100">
              <a:solidFill>
                <a:schemeClr val="dk1"/>
              </a:solidFill>
              <a:effectLst/>
              <a:latin typeface="+mn-lt"/>
              <a:ea typeface="+mn-ea"/>
              <a:cs typeface="+mn-cs"/>
            </a:rPr>
            <a:t>①</a:t>
          </a:r>
          <a:r>
            <a:rPr lang="ja-JP" altLang="ja-JP" sz="1100">
              <a:solidFill>
                <a:schemeClr val="dk1"/>
              </a:solidFill>
              <a:effectLst/>
              <a:latin typeface="+mn-lt"/>
              <a:ea typeface="+mn-ea"/>
              <a:cs typeface="+mn-cs"/>
            </a:rPr>
            <a:t>昼当番</a:t>
          </a:r>
        </a:p>
        <a:p>
          <a:r>
            <a:rPr lang="ja-JP" altLang="ja-JP" sz="1100">
              <a:solidFill>
                <a:schemeClr val="dk1"/>
              </a:solidFill>
              <a:effectLst/>
              <a:latin typeface="+mn-lt"/>
              <a:ea typeface="+mn-ea"/>
              <a:cs typeface="+mn-cs"/>
            </a:rPr>
            <a:t>押したら</a:t>
          </a:r>
          <a:r>
            <a:rPr lang="ja-JP" altLang="en-US" sz="1100">
              <a:solidFill>
                <a:schemeClr val="dk1"/>
              </a:solidFill>
              <a:effectLst/>
              <a:latin typeface="+mn-lt"/>
              <a:ea typeface="+mn-ea"/>
              <a:cs typeface="+mn-cs"/>
            </a:rPr>
            <a:t>セルが空欄の人にランダムで</a:t>
          </a:r>
          <a:r>
            <a:rPr lang="ja-JP" altLang="ja-JP" sz="1100">
              <a:solidFill>
                <a:schemeClr val="dk1"/>
              </a:solidFill>
              <a:effectLst/>
              <a:latin typeface="+mn-lt"/>
              <a:ea typeface="+mn-ea"/>
              <a:cs typeface="+mn-cs"/>
            </a:rPr>
            <a:t>割り振られます。</a:t>
          </a:r>
          <a:r>
            <a:rPr lang="ja-JP" altLang="en-US" sz="1100">
              <a:solidFill>
                <a:schemeClr val="dk1"/>
              </a:solidFill>
              <a:effectLst/>
              <a:latin typeface="+mn-lt"/>
              <a:ea typeface="+mn-ea"/>
              <a:cs typeface="+mn-cs"/>
            </a:rPr>
            <a:t>その後月の当番回数を均等にならします。</a:t>
          </a:r>
          <a:endParaRPr lang="ja-JP" altLang="ja-JP" sz="1100">
            <a:solidFill>
              <a:schemeClr val="dk1"/>
            </a:solidFill>
            <a:effectLst/>
            <a:latin typeface="+mn-lt"/>
            <a:ea typeface="+mn-ea"/>
            <a:cs typeface="+mn-cs"/>
          </a:endParaRPr>
        </a:p>
        <a:p>
          <a:r>
            <a:rPr lang="ja-JP" altLang="ja-JP" sz="1100" b="1">
              <a:solidFill>
                <a:schemeClr val="dk1"/>
              </a:solidFill>
              <a:effectLst/>
              <a:latin typeface="+mn-lt"/>
              <a:ea typeface="+mn-ea"/>
              <a:cs typeface="+mn-cs"/>
            </a:rPr>
            <a:t>万一予定のない人</a:t>
          </a:r>
          <a:r>
            <a:rPr lang="en-US" altLang="ja-JP" sz="1100" b="1">
              <a:solidFill>
                <a:schemeClr val="dk1"/>
              </a:solidFill>
              <a:effectLst/>
              <a:latin typeface="+mn-lt"/>
              <a:ea typeface="+mn-ea"/>
              <a:cs typeface="+mn-cs"/>
            </a:rPr>
            <a:t>(</a:t>
          </a:r>
          <a:r>
            <a:rPr lang="ja-JP" altLang="ja-JP" sz="1100" b="1">
              <a:solidFill>
                <a:schemeClr val="dk1"/>
              </a:solidFill>
              <a:effectLst/>
              <a:latin typeface="+mn-lt"/>
              <a:ea typeface="+mn-ea"/>
              <a:cs typeface="+mn-cs"/>
            </a:rPr>
            <a:t>セルが空欄の人</a:t>
          </a:r>
          <a:r>
            <a:rPr lang="en-US" altLang="ja-JP" sz="1100" b="1">
              <a:solidFill>
                <a:schemeClr val="dk1"/>
              </a:solidFill>
              <a:effectLst/>
              <a:latin typeface="+mn-lt"/>
              <a:ea typeface="+mn-ea"/>
              <a:cs typeface="+mn-cs"/>
            </a:rPr>
            <a:t>)</a:t>
          </a:r>
          <a:r>
            <a:rPr lang="ja-JP" altLang="ja-JP" sz="1100" b="1">
              <a:solidFill>
                <a:schemeClr val="dk1"/>
              </a:solidFill>
              <a:effectLst/>
              <a:latin typeface="+mn-lt"/>
              <a:ea typeface="+mn-ea"/>
              <a:cs typeface="+mn-cs"/>
            </a:rPr>
            <a:t>が</a:t>
          </a:r>
          <a:r>
            <a:rPr lang="en-US" altLang="ja-JP" sz="1100" b="1">
              <a:solidFill>
                <a:schemeClr val="dk1"/>
              </a:solidFill>
              <a:effectLst/>
              <a:latin typeface="+mn-lt"/>
              <a:ea typeface="+mn-ea"/>
              <a:cs typeface="+mn-cs"/>
            </a:rPr>
            <a:t>2</a:t>
          </a:r>
          <a:r>
            <a:rPr lang="ja-JP" altLang="ja-JP" sz="1100" b="1">
              <a:solidFill>
                <a:schemeClr val="dk1"/>
              </a:solidFill>
              <a:effectLst/>
              <a:latin typeface="+mn-lt"/>
              <a:ea typeface="+mn-ea"/>
              <a:cs typeface="+mn-cs"/>
            </a:rPr>
            <a:t>人以上いない場合当番が不足しますので追記してください。</a:t>
          </a:r>
        </a:p>
        <a:p>
          <a:pPr lvl="0"/>
          <a:r>
            <a:rPr lang="ja-JP" altLang="en-US" sz="1100">
              <a:solidFill>
                <a:schemeClr val="dk1"/>
              </a:solidFill>
              <a:effectLst/>
              <a:latin typeface="+mn-lt"/>
              <a:ea typeface="+mn-ea"/>
              <a:cs typeface="+mn-cs"/>
            </a:rPr>
            <a:t>②</a:t>
          </a:r>
          <a:r>
            <a:rPr lang="ja-JP" altLang="ja-JP" sz="1100">
              <a:solidFill>
                <a:schemeClr val="dk1"/>
              </a:solidFill>
              <a:effectLst/>
              <a:latin typeface="+mn-lt"/>
              <a:ea typeface="+mn-ea"/>
              <a:cs typeface="+mn-cs"/>
            </a:rPr>
            <a:t>地区担当</a:t>
          </a:r>
        </a:p>
        <a:p>
          <a:r>
            <a:rPr lang="ja-JP" altLang="ja-JP" sz="1100">
              <a:solidFill>
                <a:schemeClr val="dk1"/>
              </a:solidFill>
              <a:effectLst/>
              <a:latin typeface="+mn-lt"/>
              <a:ea typeface="+mn-ea"/>
              <a:cs typeface="+mn-cs"/>
            </a:rPr>
            <a:t>「地区担当シフト作成」ボタンを押すと、東・西ごとに出勤者それぞれに自身の正担当エリア、プラス</a:t>
          </a:r>
          <a:r>
            <a:rPr lang="en-US" altLang="ja-JP" sz="1100">
              <a:solidFill>
                <a:schemeClr val="dk1"/>
              </a:solidFill>
              <a:effectLst/>
              <a:latin typeface="+mn-lt"/>
              <a:ea typeface="+mn-ea"/>
              <a:cs typeface="+mn-cs"/>
            </a:rPr>
            <a:t>0~1</a:t>
          </a:r>
          <a:r>
            <a:rPr lang="ja-JP" altLang="en-US" sz="1100">
              <a:solidFill>
                <a:schemeClr val="dk1"/>
              </a:solidFill>
              <a:effectLst/>
              <a:latin typeface="+mn-lt"/>
              <a:ea typeface="+mn-ea"/>
              <a:cs typeface="+mn-cs"/>
            </a:rPr>
            <a:t>エリア</a:t>
          </a:r>
          <a:r>
            <a:rPr lang="ja-JP" altLang="ja-JP" sz="1100">
              <a:solidFill>
                <a:schemeClr val="dk1"/>
              </a:solidFill>
              <a:effectLst/>
              <a:latin typeface="+mn-lt"/>
              <a:ea typeface="+mn-ea"/>
              <a:cs typeface="+mn-cs"/>
            </a:rPr>
            <a:t>が割り振られます。</a:t>
          </a:r>
        </a:p>
        <a:p>
          <a:r>
            <a:rPr lang="ja-JP" altLang="ja-JP" sz="1100">
              <a:solidFill>
                <a:schemeClr val="dk1"/>
              </a:solidFill>
              <a:effectLst/>
              <a:latin typeface="+mn-lt"/>
              <a:ea typeface="+mn-ea"/>
              <a:cs typeface="+mn-cs"/>
            </a:rPr>
            <a:t>押した結果で空欄が残った場合、</a:t>
          </a:r>
          <a:r>
            <a:rPr lang="en-US" altLang="ja-JP" sz="1100">
              <a:solidFill>
                <a:schemeClr val="dk1"/>
              </a:solidFill>
              <a:effectLst/>
              <a:latin typeface="+mn-lt"/>
              <a:ea typeface="+mn-ea"/>
              <a:cs typeface="+mn-cs"/>
            </a:rPr>
            <a:t>1</a:t>
          </a:r>
          <a:r>
            <a:rPr lang="ja-JP" altLang="ja-JP" sz="1100">
              <a:solidFill>
                <a:schemeClr val="dk1"/>
              </a:solidFill>
              <a:effectLst/>
              <a:latin typeface="+mn-lt"/>
              <a:ea typeface="+mn-ea"/>
              <a:cs typeface="+mn-cs"/>
            </a:rPr>
            <a:t>デポでは人が足りないエリアになります。</a:t>
          </a:r>
          <a:r>
            <a:rPr lang="en-US" altLang="ja-JP" sz="1100" b="1">
              <a:solidFill>
                <a:schemeClr val="dk1"/>
              </a:solidFill>
              <a:effectLst/>
              <a:latin typeface="+mn-lt"/>
              <a:ea typeface="+mn-ea"/>
              <a:cs typeface="+mn-cs"/>
            </a:rPr>
            <a:t>2</a:t>
          </a:r>
          <a:r>
            <a:rPr lang="ja-JP" altLang="en-US" sz="1100" b="1">
              <a:solidFill>
                <a:schemeClr val="dk1"/>
              </a:solidFill>
              <a:effectLst/>
              <a:latin typeface="+mn-lt"/>
              <a:ea typeface="+mn-ea"/>
              <a:cs typeface="+mn-cs"/>
            </a:rPr>
            <a:t>エリア</a:t>
          </a:r>
          <a:r>
            <a:rPr lang="ja-JP" altLang="ja-JP" sz="1100" b="1">
              <a:solidFill>
                <a:schemeClr val="dk1"/>
              </a:solidFill>
              <a:effectLst/>
              <a:latin typeface="+mn-lt"/>
              <a:ea typeface="+mn-ea"/>
              <a:cs typeface="+mn-cs"/>
            </a:rPr>
            <a:t>目については出勤者のバランスを見て手作業で割り振ってください。</a:t>
          </a:r>
        </a:p>
        <a:p>
          <a:r>
            <a:rPr lang="ja-JP" altLang="ja-JP" sz="1100">
              <a:solidFill>
                <a:schemeClr val="dk1"/>
              </a:solidFill>
              <a:effectLst/>
              <a:latin typeface="+mn-lt"/>
              <a:ea typeface="+mn-ea"/>
              <a:cs typeface="+mn-cs"/>
            </a:rPr>
            <a:t>全部埋めた後、正担当を空欄に変更ボタンを押すと、</a:t>
          </a:r>
          <a:r>
            <a:rPr lang="ja-JP" altLang="en-US" sz="1100">
              <a:solidFill>
                <a:schemeClr val="dk1"/>
              </a:solidFill>
              <a:effectLst/>
              <a:latin typeface="+mn-lt"/>
              <a:ea typeface="+mn-ea"/>
              <a:cs typeface="+mn-cs"/>
            </a:rPr>
            <a:t>代理ではない</a:t>
          </a:r>
          <a:r>
            <a:rPr lang="ja-JP" altLang="ja-JP" sz="1100">
              <a:solidFill>
                <a:schemeClr val="dk1"/>
              </a:solidFill>
              <a:effectLst/>
              <a:latin typeface="+mn-lt"/>
              <a:ea typeface="+mn-ea"/>
              <a:cs typeface="+mn-cs"/>
            </a:rPr>
            <a:t>正担当エリアのセルの名前が消えます。</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control" Target="../activeX/activeX1.xml"/><Relationship Id="rId3" Type="http://schemas.openxmlformats.org/officeDocument/2006/relationships/printerSettings" Target="../printerSettings/printerSettings3.bin"/><Relationship Id="rId21" Type="http://schemas.openxmlformats.org/officeDocument/2006/relationships/image" Target="../media/image2.emf"/><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vmlDrawing" Target="../drawings/vmlDrawing1.vml"/><Relationship Id="rId25" Type="http://schemas.openxmlformats.org/officeDocument/2006/relationships/image" Target="../media/image4.emf"/><Relationship Id="rId2" Type="http://schemas.openxmlformats.org/officeDocument/2006/relationships/printerSettings" Target="../printerSettings/printerSettings2.bin"/><Relationship Id="rId16" Type="http://schemas.openxmlformats.org/officeDocument/2006/relationships/drawing" Target="../drawings/drawing1.xml"/><Relationship Id="rId20" Type="http://schemas.openxmlformats.org/officeDocument/2006/relationships/control" Target="../activeX/activeX2.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control" Target="../activeX/activeX4.xml"/><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image" Target="../media/image3.emf"/><Relationship Id="rId10" Type="http://schemas.openxmlformats.org/officeDocument/2006/relationships/printerSettings" Target="../printerSettings/printerSettings10.bin"/><Relationship Id="rId19" Type="http://schemas.openxmlformats.org/officeDocument/2006/relationships/image" Target="../media/image1.emf"/><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38"/>
  <sheetViews>
    <sheetView tabSelected="1" zoomScale="55" zoomScaleNormal="55" zoomScaleSheetLayoutView="70" workbookViewId="0">
      <pane xSplit="4" topLeftCell="E1" activePane="topRight" state="frozen"/>
      <selection pane="topRight"/>
    </sheetView>
  </sheetViews>
  <sheetFormatPr defaultColWidth="9" defaultRowHeight="16.2" x14ac:dyDescent="0.2"/>
  <cols>
    <col min="1" max="1" width="7.77734375" style="1" customWidth="1"/>
    <col min="2" max="2" width="9" style="1"/>
    <col min="3" max="3" width="23.33203125" style="1" bestFit="1" customWidth="1"/>
    <col min="4" max="4" width="17.44140625" style="1" customWidth="1"/>
    <col min="5" max="9" width="7.109375" style="16" customWidth="1"/>
    <col min="10" max="10" width="7.77734375" style="16" customWidth="1"/>
    <col min="11" max="29" width="7.109375" style="16" customWidth="1"/>
    <col min="30" max="35" width="7.109375" style="7" customWidth="1"/>
    <col min="36" max="36" width="9" style="1" customWidth="1"/>
    <col min="37" max="16384" width="9" style="1"/>
  </cols>
  <sheetData>
    <row r="1" spans="1:37" ht="36" customHeight="1" x14ac:dyDescent="0.2">
      <c r="D1" s="22"/>
      <c r="E1" s="23"/>
      <c r="F1" s="23"/>
    </row>
    <row r="2" spans="1:37" ht="27.75" customHeight="1" x14ac:dyDescent="0.2">
      <c r="A2" s="29"/>
      <c r="C2" s="29">
        <v>2021</v>
      </c>
      <c r="D2" s="30">
        <v>4</v>
      </c>
      <c r="E2" s="24" t="s">
        <v>0</v>
      </c>
      <c r="F2" s="24"/>
      <c r="G2" s="17"/>
      <c r="H2" s="17"/>
      <c r="I2" s="18"/>
      <c r="J2" s="2"/>
      <c r="M2" s="2"/>
      <c r="N2" s="2"/>
      <c r="O2" s="7"/>
      <c r="P2" s="2"/>
      <c r="Q2" s="2"/>
      <c r="R2" s="2"/>
      <c r="S2" s="2"/>
      <c r="T2" s="2"/>
      <c r="U2" s="5"/>
      <c r="V2" s="2"/>
      <c r="W2" s="18"/>
      <c r="X2" s="2"/>
      <c r="Y2" s="18"/>
      <c r="Z2" s="18"/>
      <c r="AA2" s="18"/>
      <c r="AB2" s="18"/>
      <c r="AC2" s="18"/>
    </row>
    <row r="3" spans="1:37" s="3" customFormat="1" ht="22.5" customHeight="1" x14ac:dyDescent="0.2">
      <c r="A3" s="80"/>
      <c r="B3" s="80"/>
      <c r="C3" s="122"/>
      <c r="D3" s="136"/>
      <c r="E3" s="103">
        <f>DATE($C$2,$D$2,1)</f>
        <v>44287</v>
      </c>
      <c r="F3" s="104">
        <f>E3+1</f>
        <v>44288</v>
      </c>
      <c r="G3" s="104">
        <f t="shared" ref="G3:H3" si="0">F3+1</f>
        <v>44289</v>
      </c>
      <c r="H3" s="104">
        <f t="shared" si="0"/>
        <v>44290</v>
      </c>
      <c r="I3" s="104">
        <f t="shared" ref="I3:AF3" si="1">H3+1</f>
        <v>44291</v>
      </c>
      <c r="J3" s="104">
        <f t="shared" si="1"/>
        <v>44292</v>
      </c>
      <c r="K3" s="104">
        <f t="shared" si="1"/>
        <v>44293</v>
      </c>
      <c r="L3" s="104">
        <f t="shared" si="1"/>
        <v>44294</v>
      </c>
      <c r="M3" s="104">
        <f t="shared" si="1"/>
        <v>44295</v>
      </c>
      <c r="N3" s="104">
        <f t="shared" si="1"/>
        <v>44296</v>
      </c>
      <c r="O3" s="104">
        <f t="shared" si="1"/>
        <v>44297</v>
      </c>
      <c r="P3" s="104">
        <f t="shared" si="1"/>
        <v>44298</v>
      </c>
      <c r="Q3" s="104">
        <f t="shared" si="1"/>
        <v>44299</v>
      </c>
      <c r="R3" s="104">
        <f t="shared" si="1"/>
        <v>44300</v>
      </c>
      <c r="S3" s="104">
        <f t="shared" si="1"/>
        <v>44301</v>
      </c>
      <c r="T3" s="104">
        <f t="shared" si="1"/>
        <v>44302</v>
      </c>
      <c r="U3" s="104">
        <f t="shared" si="1"/>
        <v>44303</v>
      </c>
      <c r="V3" s="104">
        <f t="shared" si="1"/>
        <v>44304</v>
      </c>
      <c r="W3" s="104">
        <f t="shared" si="1"/>
        <v>44305</v>
      </c>
      <c r="X3" s="104">
        <f t="shared" si="1"/>
        <v>44306</v>
      </c>
      <c r="Y3" s="104">
        <f t="shared" si="1"/>
        <v>44307</v>
      </c>
      <c r="Z3" s="104">
        <f t="shared" si="1"/>
        <v>44308</v>
      </c>
      <c r="AA3" s="104">
        <f t="shared" si="1"/>
        <v>44309</v>
      </c>
      <c r="AB3" s="104">
        <f t="shared" si="1"/>
        <v>44310</v>
      </c>
      <c r="AC3" s="104">
        <f t="shared" si="1"/>
        <v>44311</v>
      </c>
      <c r="AD3" s="104">
        <f t="shared" si="1"/>
        <v>44312</v>
      </c>
      <c r="AE3" s="104">
        <f t="shared" si="1"/>
        <v>44313</v>
      </c>
      <c r="AF3" s="104">
        <f t="shared" si="1"/>
        <v>44314</v>
      </c>
      <c r="AG3" s="104">
        <f>IFERROR(IF(MONTH(AF3+1)=$D$2,AF3+1,""),"")</f>
        <v>44315</v>
      </c>
      <c r="AH3" s="104">
        <f>IFERROR(IF(MONTH(AG3+1)=$D$2,AG3+1,""),"")</f>
        <v>44316</v>
      </c>
      <c r="AI3" s="105" t="str">
        <f>IFERROR(IF(MONTH(AH3+1)=$D$2,AH3+1,""),"")</f>
        <v/>
      </c>
      <c r="AJ3" s="21"/>
      <c r="AK3" s="21"/>
    </row>
    <row r="4" spans="1:37" s="3" customFormat="1" ht="22.5" customHeight="1" x14ac:dyDescent="0.2">
      <c r="A4" s="81"/>
      <c r="B4" s="82" t="s">
        <v>1</v>
      </c>
      <c r="C4" s="123" t="s">
        <v>2</v>
      </c>
      <c r="D4" s="137"/>
      <c r="E4" s="90" t="str">
        <f>TEXT(E$3,"aaa")</f>
        <v>木</v>
      </c>
      <c r="F4" s="6" t="str">
        <f t="shared" ref="F4:AI4" si="2">TEXT(F$3,"aaa")</f>
        <v>金</v>
      </c>
      <c r="G4" s="6" t="str">
        <f t="shared" si="2"/>
        <v>土</v>
      </c>
      <c r="H4" s="6" t="str">
        <f t="shared" si="2"/>
        <v>日</v>
      </c>
      <c r="I4" s="6" t="str">
        <f t="shared" si="2"/>
        <v>月</v>
      </c>
      <c r="J4" s="6" t="str">
        <f t="shared" si="2"/>
        <v>火</v>
      </c>
      <c r="K4" s="6" t="str">
        <f t="shared" si="2"/>
        <v>水</v>
      </c>
      <c r="L4" s="6" t="str">
        <f t="shared" si="2"/>
        <v>木</v>
      </c>
      <c r="M4" s="6" t="str">
        <f t="shared" si="2"/>
        <v>金</v>
      </c>
      <c r="N4" s="6" t="str">
        <f t="shared" si="2"/>
        <v>土</v>
      </c>
      <c r="O4" s="6" t="str">
        <f t="shared" si="2"/>
        <v>日</v>
      </c>
      <c r="P4" s="6" t="str">
        <f t="shared" si="2"/>
        <v>月</v>
      </c>
      <c r="Q4" s="6" t="str">
        <f t="shared" si="2"/>
        <v>火</v>
      </c>
      <c r="R4" s="6" t="str">
        <f t="shared" si="2"/>
        <v>水</v>
      </c>
      <c r="S4" s="6" t="str">
        <f t="shared" si="2"/>
        <v>木</v>
      </c>
      <c r="T4" s="6" t="str">
        <f t="shared" si="2"/>
        <v>金</v>
      </c>
      <c r="U4" s="6" t="str">
        <f t="shared" si="2"/>
        <v>土</v>
      </c>
      <c r="V4" s="6" t="str">
        <f t="shared" si="2"/>
        <v>日</v>
      </c>
      <c r="W4" s="6" t="str">
        <f t="shared" si="2"/>
        <v>月</v>
      </c>
      <c r="X4" s="6" t="str">
        <f t="shared" si="2"/>
        <v>火</v>
      </c>
      <c r="Y4" s="6" t="str">
        <f t="shared" si="2"/>
        <v>水</v>
      </c>
      <c r="Z4" s="6" t="str">
        <f t="shared" si="2"/>
        <v>木</v>
      </c>
      <c r="AA4" s="6" t="str">
        <f t="shared" si="2"/>
        <v>金</v>
      </c>
      <c r="AB4" s="6" t="str">
        <f t="shared" si="2"/>
        <v>土</v>
      </c>
      <c r="AC4" s="6" t="str">
        <f t="shared" si="2"/>
        <v>日</v>
      </c>
      <c r="AD4" s="6" t="str">
        <f t="shared" si="2"/>
        <v>月</v>
      </c>
      <c r="AE4" s="6" t="str">
        <f t="shared" si="2"/>
        <v>火</v>
      </c>
      <c r="AF4" s="6" t="str">
        <f t="shared" si="2"/>
        <v>水</v>
      </c>
      <c r="AG4" s="6" t="str">
        <f t="shared" si="2"/>
        <v>木</v>
      </c>
      <c r="AH4" s="6" t="str">
        <f t="shared" si="2"/>
        <v>金</v>
      </c>
      <c r="AI4" s="106" t="str">
        <f t="shared" si="2"/>
        <v/>
      </c>
      <c r="AJ4" s="4"/>
      <c r="AK4" s="4"/>
    </row>
    <row r="5" spans="1:37" s="4" customFormat="1" ht="33.9" customHeight="1" x14ac:dyDescent="0.2">
      <c r="A5" s="83"/>
      <c r="B5" s="101" t="s">
        <v>3</v>
      </c>
      <c r="C5" s="124" t="s">
        <v>4</v>
      </c>
      <c r="D5" s="107"/>
      <c r="E5" s="34"/>
      <c r="F5" s="32"/>
      <c r="G5" s="32"/>
      <c r="H5" s="32"/>
      <c r="I5" s="32"/>
      <c r="J5" s="32"/>
      <c r="K5" s="32"/>
      <c r="L5" s="32"/>
      <c r="M5" s="32"/>
      <c r="N5" s="32"/>
      <c r="O5" s="32"/>
      <c r="P5" s="33"/>
      <c r="Q5" s="34"/>
      <c r="R5" s="32"/>
      <c r="S5" s="35"/>
      <c r="T5" s="35"/>
      <c r="U5" s="35"/>
      <c r="V5" s="36"/>
      <c r="W5" s="36"/>
      <c r="X5" s="37"/>
      <c r="Y5" s="35"/>
      <c r="Z5" s="36"/>
      <c r="AA5" s="35"/>
      <c r="AB5" s="37"/>
      <c r="AC5" s="37"/>
      <c r="AD5" s="37"/>
      <c r="AE5" s="37"/>
      <c r="AF5" s="37"/>
      <c r="AG5" s="37"/>
      <c r="AH5" s="37"/>
      <c r="AI5" s="108"/>
    </row>
    <row r="6" spans="1:37" s="4" customFormat="1" ht="33.9" customHeight="1" x14ac:dyDescent="0.2">
      <c r="A6" s="83"/>
      <c r="B6" s="101" t="s">
        <v>5</v>
      </c>
      <c r="C6" s="124" t="s">
        <v>6</v>
      </c>
      <c r="D6" s="107" t="s">
        <v>7</v>
      </c>
      <c r="E6" s="34"/>
      <c r="F6" s="32"/>
      <c r="G6" s="32"/>
      <c r="H6" s="32"/>
      <c r="I6" s="32"/>
      <c r="J6" s="32"/>
      <c r="K6" s="32"/>
      <c r="L6" s="32"/>
      <c r="M6" s="32"/>
      <c r="N6" s="32"/>
      <c r="O6" s="32"/>
      <c r="P6" s="33"/>
      <c r="Q6" s="34"/>
      <c r="R6" s="32"/>
      <c r="S6" s="35"/>
      <c r="T6" s="35"/>
      <c r="U6" s="35"/>
      <c r="V6" s="36"/>
      <c r="W6" s="36"/>
      <c r="X6" s="37"/>
      <c r="Y6" s="35"/>
      <c r="Z6" s="36"/>
      <c r="AA6" s="35"/>
      <c r="AB6" s="37"/>
      <c r="AC6" s="37"/>
      <c r="AD6" s="37"/>
      <c r="AE6" s="37"/>
      <c r="AF6" s="37"/>
      <c r="AG6" s="37"/>
      <c r="AH6" s="37"/>
      <c r="AI6" s="108"/>
    </row>
    <row r="7" spans="1:37" s="4" customFormat="1" ht="33.9" customHeight="1" x14ac:dyDescent="0.2">
      <c r="A7" s="83"/>
      <c r="B7" s="101"/>
      <c r="C7" s="124" t="s">
        <v>8</v>
      </c>
      <c r="D7" s="107" t="s">
        <v>9</v>
      </c>
      <c r="E7" s="56"/>
      <c r="F7" s="55"/>
      <c r="G7" s="55"/>
      <c r="H7" s="55"/>
      <c r="I7" s="55"/>
      <c r="J7" s="55"/>
      <c r="K7" s="55"/>
      <c r="L7" s="55"/>
      <c r="M7" s="55"/>
      <c r="N7" s="55"/>
      <c r="O7" s="55"/>
      <c r="P7" s="55"/>
      <c r="Q7" s="56"/>
      <c r="R7" s="55"/>
      <c r="S7" s="57"/>
      <c r="T7" s="57"/>
      <c r="U7" s="57"/>
      <c r="V7" s="58"/>
      <c r="W7" s="58"/>
      <c r="X7" s="58"/>
      <c r="Y7" s="57"/>
      <c r="Z7" s="58"/>
      <c r="AA7" s="57"/>
      <c r="AB7" s="58"/>
      <c r="AC7" s="58"/>
      <c r="AD7" s="58"/>
      <c r="AE7" s="58"/>
      <c r="AF7" s="58"/>
      <c r="AG7" s="58"/>
      <c r="AH7" s="58"/>
      <c r="AI7" s="109"/>
      <c r="AJ7" s="4">
        <f>MIN(AJ9:AJ17)</f>
        <v>0</v>
      </c>
      <c r="AK7" s="4">
        <f>MIN(AK9:AK17)</f>
        <v>0</v>
      </c>
    </row>
    <row r="8" spans="1:37" s="4" customFormat="1" ht="33.9" customHeight="1" x14ac:dyDescent="0.2">
      <c r="A8" s="83"/>
      <c r="B8" s="101"/>
      <c r="C8" s="125"/>
      <c r="D8" s="107" t="s">
        <v>10</v>
      </c>
      <c r="E8" s="54">
        <f>COUNTIF(E$28:E$37,"〇")</f>
        <v>9</v>
      </c>
      <c r="F8" s="54">
        <f t="shared" ref="F8:AH8" si="3">COUNTIF(F$28:F$37,"〇")</f>
        <v>8</v>
      </c>
      <c r="G8" s="54">
        <f t="shared" si="3"/>
        <v>4</v>
      </c>
      <c r="H8" s="54">
        <f t="shared" si="3"/>
        <v>4</v>
      </c>
      <c r="I8" s="54">
        <f t="shared" si="3"/>
        <v>9</v>
      </c>
      <c r="J8" s="54">
        <f t="shared" si="3"/>
        <v>8</v>
      </c>
      <c r="K8" s="54">
        <f t="shared" si="3"/>
        <v>9</v>
      </c>
      <c r="L8" s="54">
        <f t="shared" si="3"/>
        <v>6</v>
      </c>
      <c r="M8" s="54">
        <f t="shared" si="3"/>
        <v>7</v>
      </c>
      <c r="N8" s="54">
        <f t="shared" si="3"/>
        <v>3</v>
      </c>
      <c r="O8" s="54">
        <f t="shared" si="3"/>
        <v>2</v>
      </c>
      <c r="P8" s="54">
        <f t="shared" si="3"/>
        <v>9</v>
      </c>
      <c r="Q8" s="54">
        <f t="shared" si="3"/>
        <v>10</v>
      </c>
      <c r="R8" s="54">
        <f t="shared" si="3"/>
        <v>10</v>
      </c>
      <c r="S8" s="54">
        <f t="shared" si="3"/>
        <v>7</v>
      </c>
      <c r="T8" s="54">
        <f t="shared" si="3"/>
        <v>6</v>
      </c>
      <c r="U8" s="54">
        <f t="shared" si="3"/>
        <v>2</v>
      </c>
      <c r="V8" s="54">
        <f t="shared" si="3"/>
        <v>3</v>
      </c>
      <c r="W8" s="54">
        <f t="shared" si="3"/>
        <v>8</v>
      </c>
      <c r="X8" s="54">
        <f t="shared" si="3"/>
        <v>10</v>
      </c>
      <c r="Y8" s="54">
        <f t="shared" si="3"/>
        <v>7</v>
      </c>
      <c r="Z8" s="54">
        <f t="shared" si="3"/>
        <v>9</v>
      </c>
      <c r="AA8" s="54">
        <f t="shared" si="3"/>
        <v>8</v>
      </c>
      <c r="AB8" s="54">
        <f t="shared" si="3"/>
        <v>3</v>
      </c>
      <c r="AC8" s="54">
        <f t="shared" si="3"/>
        <v>3</v>
      </c>
      <c r="AD8" s="54">
        <f t="shared" si="3"/>
        <v>8</v>
      </c>
      <c r="AE8" s="54">
        <f t="shared" si="3"/>
        <v>9</v>
      </c>
      <c r="AF8" s="54">
        <f t="shared" si="3"/>
        <v>9</v>
      </c>
      <c r="AG8" s="54">
        <f t="shared" si="3"/>
        <v>9</v>
      </c>
      <c r="AH8" s="54">
        <f t="shared" si="3"/>
        <v>10</v>
      </c>
      <c r="AI8" s="110"/>
      <c r="AJ8" s="4">
        <f>MAX(AJ9:AJ17)</f>
        <v>0</v>
      </c>
      <c r="AK8" s="4">
        <f>MAX(AK9:AK17)</f>
        <v>0</v>
      </c>
    </row>
    <row r="9" spans="1:37" s="4" customFormat="1" ht="33.9" customHeight="1" x14ac:dyDescent="0.2">
      <c r="A9" s="85"/>
      <c r="B9" s="101" t="s">
        <v>11</v>
      </c>
      <c r="C9" s="124" t="s">
        <v>12</v>
      </c>
      <c r="D9" s="107" t="s">
        <v>13</v>
      </c>
      <c r="E9" s="91"/>
      <c r="F9" s="53"/>
      <c r="G9" s="92" t="s">
        <v>120</v>
      </c>
      <c r="H9" s="53"/>
      <c r="I9" s="53"/>
      <c r="J9" s="53"/>
      <c r="K9" s="53"/>
      <c r="L9" s="53"/>
      <c r="M9" s="60"/>
      <c r="N9" s="92"/>
      <c r="O9" s="92" t="s">
        <v>120</v>
      </c>
      <c r="P9" s="53"/>
      <c r="Q9" s="53"/>
      <c r="R9" s="53"/>
      <c r="S9" s="61"/>
      <c r="T9" s="92" t="s">
        <v>120</v>
      </c>
      <c r="U9" s="92" t="s">
        <v>120</v>
      </c>
      <c r="V9" s="92" t="s">
        <v>120</v>
      </c>
      <c r="W9" s="60"/>
      <c r="X9" s="61"/>
      <c r="Y9" s="61"/>
      <c r="Z9" s="62"/>
      <c r="AA9" s="61"/>
      <c r="AB9" s="92" t="s">
        <v>120</v>
      </c>
      <c r="AC9" s="92"/>
      <c r="AD9" s="39" t="s">
        <v>122</v>
      </c>
      <c r="AE9" s="39" t="s">
        <v>122</v>
      </c>
      <c r="AF9" s="53"/>
      <c r="AG9" s="53"/>
      <c r="AH9" s="61"/>
      <c r="AI9" s="111"/>
      <c r="AJ9" s="4">
        <f>COUNTIF($E9:$AI9,"前昼")</f>
        <v>0</v>
      </c>
      <c r="AK9" s="4">
        <f>COUNTIF($E9:$AI9,"後昼")</f>
        <v>0</v>
      </c>
    </row>
    <row r="10" spans="1:37" s="4" customFormat="1" ht="33.9" customHeight="1" x14ac:dyDescent="0.2">
      <c r="A10" s="85"/>
      <c r="B10" s="101" t="s">
        <v>11</v>
      </c>
      <c r="C10" s="124" t="s">
        <v>14</v>
      </c>
      <c r="D10" s="107" t="s">
        <v>15</v>
      </c>
      <c r="E10" s="92" t="s">
        <v>120</v>
      </c>
      <c r="F10" s="42"/>
      <c r="G10" s="41"/>
      <c r="H10" s="92" t="s">
        <v>120</v>
      </c>
      <c r="I10" s="38"/>
      <c r="J10" s="38"/>
      <c r="K10" s="38"/>
      <c r="L10" s="39" t="s">
        <v>122</v>
      </c>
      <c r="M10" s="39" t="s">
        <v>122</v>
      </c>
      <c r="N10" s="92" t="s">
        <v>120</v>
      </c>
      <c r="O10" s="92" t="s">
        <v>120</v>
      </c>
      <c r="P10" s="38"/>
      <c r="Q10" s="38"/>
      <c r="R10" s="38"/>
      <c r="S10" s="92" t="s">
        <v>120</v>
      </c>
      <c r="T10" s="38" t="s">
        <v>92</v>
      </c>
      <c r="U10" s="92" t="s">
        <v>120</v>
      </c>
      <c r="V10" s="92"/>
      <c r="W10" s="39" t="s">
        <v>122</v>
      </c>
      <c r="X10" s="40"/>
      <c r="Y10" s="40"/>
      <c r="Z10" s="40"/>
      <c r="AA10" s="38" t="s">
        <v>92</v>
      </c>
      <c r="AB10" s="92" t="s">
        <v>120</v>
      </c>
      <c r="AC10" s="92" t="s">
        <v>120</v>
      </c>
      <c r="AD10" s="39" t="s">
        <v>122</v>
      </c>
      <c r="AE10" s="38"/>
      <c r="AF10" s="92" t="s">
        <v>120</v>
      </c>
      <c r="AG10" s="39"/>
      <c r="AH10" s="38"/>
      <c r="AI10" s="112"/>
      <c r="AJ10" s="4">
        <f t="shared" ref="AJ10:AJ17" si="4">COUNTIF($E10:$AI10,"前昼")</f>
        <v>0</v>
      </c>
      <c r="AK10" s="4">
        <f t="shared" ref="AK10:AK17" si="5">COUNTIF($E10:$AI10,"後昼")</f>
        <v>0</v>
      </c>
    </row>
    <row r="11" spans="1:37" s="4" customFormat="1" ht="33.75" customHeight="1" x14ac:dyDescent="0.2">
      <c r="A11" s="85"/>
      <c r="B11" s="101" t="s">
        <v>16</v>
      </c>
      <c r="C11" s="124" t="s">
        <v>17</v>
      </c>
      <c r="D11" s="107" t="s">
        <v>18</v>
      </c>
      <c r="E11" s="93"/>
      <c r="F11" s="38"/>
      <c r="G11" s="92" t="s">
        <v>120</v>
      </c>
      <c r="H11" s="92"/>
      <c r="I11" s="38"/>
      <c r="J11" s="92" t="s">
        <v>120</v>
      </c>
      <c r="K11" s="38"/>
      <c r="L11" s="38" t="s">
        <v>92</v>
      </c>
      <c r="M11" s="38" t="s">
        <v>92</v>
      </c>
      <c r="N11" s="92" t="s">
        <v>120</v>
      </c>
      <c r="O11" s="92"/>
      <c r="P11" s="42"/>
      <c r="Q11" s="38"/>
      <c r="R11" s="38"/>
      <c r="S11" s="42"/>
      <c r="T11" s="39" t="s">
        <v>122</v>
      </c>
      <c r="U11" s="92"/>
      <c r="V11" s="92" t="s">
        <v>121</v>
      </c>
      <c r="W11" s="38"/>
      <c r="X11" s="40"/>
      <c r="Y11" s="92" t="s">
        <v>120</v>
      </c>
      <c r="Z11" s="39"/>
      <c r="AA11" s="92" t="s">
        <v>120</v>
      </c>
      <c r="AB11" s="92"/>
      <c r="AC11" s="92" t="s">
        <v>120</v>
      </c>
      <c r="AD11" s="39"/>
      <c r="AE11" s="38"/>
      <c r="AF11" s="40"/>
      <c r="AG11" s="39"/>
      <c r="AH11" s="43"/>
      <c r="AI11" s="112"/>
      <c r="AJ11" s="4">
        <f t="shared" si="4"/>
        <v>0</v>
      </c>
      <c r="AK11" s="4">
        <f t="shared" si="5"/>
        <v>0</v>
      </c>
    </row>
    <row r="12" spans="1:37" s="4" customFormat="1" ht="33.75" customHeight="1" x14ac:dyDescent="0.2">
      <c r="A12" s="86"/>
      <c r="B12" s="101" t="s">
        <v>16</v>
      </c>
      <c r="C12" s="124" t="s">
        <v>19</v>
      </c>
      <c r="D12" s="113" t="s">
        <v>20</v>
      </c>
      <c r="E12" s="92"/>
      <c r="F12" s="92" t="s">
        <v>120</v>
      </c>
      <c r="G12" s="92"/>
      <c r="H12" s="92" t="s">
        <v>120</v>
      </c>
      <c r="I12" s="38"/>
      <c r="J12" s="38"/>
      <c r="K12" s="38"/>
      <c r="L12" s="38" t="s">
        <v>92</v>
      </c>
      <c r="M12" s="38"/>
      <c r="N12" s="92" t="s">
        <v>120</v>
      </c>
      <c r="O12" s="92" t="s">
        <v>120</v>
      </c>
      <c r="P12" s="42"/>
      <c r="Q12" s="38"/>
      <c r="R12" s="38"/>
      <c r="S12" s="45"/>
      <c r="T12" s="38"/>
      <c r="U12" s="92" t="s">
        <v>120</v>
      </c>
      <c r="V12" s="92" t="s">
        <v>120</v>
      </c>
      <c r="W12" s="40"/>
      <c r="X12" s="46"/>
      <c r="Y12" s="40"/>
      <c r="Z12" s="39"/>
      <c r="AA12" s="40"/>
      <c r="AB12" s="92" t="s">
        <v>120</v>
      </c>
      <c r="AC12" s="92"/>
      <c r="AD12" s="40"/>
      <c r="AE12" s="38"/>
      <c r="AF12" s="40"/>
      <c r="AG12" s="92" t="s">
        <v>120</v>
      </c>
      <c r="AH12" s="40"/>
      <c r="AI12" s="112"/>
      <c r="AJ12" s="4">
        <f t="shared" si="4"/>
        <v>0</v>
      </c>
      <c r="AK12" s="4">
        <f t="shared" si="5"/>
        <v>0</v>
      </c>
    </row>
    <row r="13" spans="1:37" s="4" customFormat="1" ht="33.9" customHeight="1" x14ac:dyDescent="0.2">
      <c r="A13" s="86"/>
      <c r="B13" s="101" t="s">
        <v>16</v>
      </c>
      <c r="C13" s="124" t="s">
        <v>21</v>
      </c>
      <c r="D13" s="113" t="s">
        <v>22</v>
      </c>
      <c r="E13" s="92"/>
      <c r="F13" s="39" t="s">
        <v>122</v>
      </c>
      <c r="G13" s="92" t="s">
        <v>120</v>
      </c>
      <c r="H13" s="92" t="s">
        <v>120</v>
      </c>
      <c r="I13" s="38"/>
      <c r="J13" s="38"/>
      <c r="K13" s="92" t="s">
        <v>120</v>
      </c>
      <c r="L13" s="39"/>
      <c r="M13" s="38"/>
      <c r="N13" s="44"/>
      <c r="O13" s="92" t="s">
        <v>120</v>
      </c>
      <c r="P13" s="41"/>
      <c r="Q13" s="38"/>
      <c r="R13" s="38"/>
      <c r="S13" s="39"/>
      <c r="T13" s="92" t="s">
        <v>120</v>
      </c>
      <c r="U13" s="92" t="s">
        <v>120</v>
      </c>
      <c r="V13" s="92" t="s">
        <v>120</v>
      </c>
      <c r="W13" s="40"/>
      <c r="X13" s="40"/>
      <c r="Y13" s="40"/>
      <c r="Z13" s="40"/>
      <c r="AA13" s="38"/>
      <c r="AB13" s="92" t="s">
        <v>120</v>
      </c>
      <c r="AC13" s="92" t="s">
        <v>120</v>
      </c>
      <c r="AD13" s="40"/>
      <c r="AE13" s="40"/>
      <c r="AF13" s="40"/>
      <c r="AG13" s="40"/>
      <c r="AH13" s="40"/>
      <c r="AI13" s="112"/>
      <c r="AJ13" s="4">
        <f t="shared" si="4"/>
        <v>0</v>
      </c>
      <c r="AK13" s="4">
        <f t="shared" si="5"/>
        <v>0</v>
      </c>
    </row>
    <row r="14" spans="1:37" ht="32.25" customHeight="1" x14ac:dyDescent="0.2">
      <c r="A14" s="87"/>
      <c r="B14" s="101" t="s">
        <v>16</v>
      </c>
      <c r="C14" s="124" t="s">
        <v>23</v>
      </c>
      <c r="D14" s="113" t="s">
        <v>24</v>
      </c>
      <c r="E14" s="92"/>
      <c r="F14" s="38"/>
      <c r="G14" s="92" t="s">
        <v>120</v>
      </c>
      <c r="H14" s="39"/>
      <c r="I14" s="47"/>
      <c r="J14" s="38"/>
      <c r="K14" s="38"/>
      <c r="L14" s="44"/>
      <c r="M14" s="39" t="s">
        <v>122</v>
      </c>
      <c r="N14" s="92" t="s">
        <v>120</v>
      </c>
      <c r="O14" s="92" t="s">
        <v>120</v>
      </c>
      <c r="P14" s="39" t="s">
        <v>122</v>
      </c>
      <c r="Q14" s="38"/>
      <c r="R14" s="38"/>
      <c r="S14" s="92" t="s">
        <v>120</v>
      </c>
      <c r="T14" s="39"/>
      <c r="U14" s="92" t="s">
        <v>120</v>
      </c>
      <c r="V14" s="92"/>
      <c r="W14" s="40"/>
      <c r="X14" s="40"/>
      <c r="Y14" s="92" t="s">
        <v>120</v>
      </c>
      <c r="Z14" s="40"/>
      <c r="AA14" s="40"/>
      <c r="AB14" s="40"/>
      <c r="AC14" s="92" t="s">
        <v>120</v>
      </c>
      <c r="AD14" s="40"/>
      <c r="AE14" s="38"/>
      <c r="AF14" s="40"/>
      <c r="AG14" s="43"/>
      <c r="AH14" s="38"/>
      <c r="AI14" s="112"/>
      <c r="AJ14" s="4">
        <f t="shared" si="4"/>
        <v>0</v>
      </c>
      <c r="AK14" s="4">
        <f t="shared" si="5"/>
        <v>0</v>
      </c>
    </row>
    <row r="15" spans="1:37" ht="32.25" customHeight="1" x14ac:dyDescent="0.2">
      <c r="A15" s="87"/>
      <c r="B15" s="101"/>
      <c r="C15" s="124" t="s">
        <v>25</v>
      </c>
      <c r="D15" s="113" t="s">
        <v>26</v>
      </c>
      <c r="E15" s="94"/>
      <c r="F15" s="38"/>
      <c r="G15" s="92"/>
      <c r="H15" s="92" t="s">
        <v>120</v>
      </c>
      <c r="I15" s="47"/>
      <c r="J15" s="38"/>
      <c r="K15" s="41"/>
      <c r="L15" s="39"/>
      <c r="M15" s="38"/>
      <c r="N15" s="92" t="s">
        <v>120</v>
      </c>
      <c r="O15" s="38"/>
      <c r="P15" s="42"/>
      <c r="Q15" s="38"/>
      <c r="R15" s="38"/>
      <c r="S15" s="40"/>
      <c r="T15" s="39"/>
      <c r="U15" s="92" t="s">
        <v>120</v>
      </c>
      <c r="V15" s="92" t="s">
        <v>120</v>
      </c>
      <c r="W15" s="40"/>
      <c r="X15" s="40"/>
      <c r="Y15" s="92" t="s">
        <v>120</v>
      </c>
      <c r="Z15" s="39"/>
      <c r="AA15" s="40"/>
      <c r="AB15" s="92" t="s">
        <v>120</v>
      </c>
      <c r="AC15" s="92" t="s">
        <v>120</v>
      </c>
      <c r="AD15" s="38"/>
      <c r="AE15" s="38"/>
      <c r="AF15" s="40"/>
      <c r="AG15" s="40"/>
      <c r="AH15" s="40"/>
      <c r="AI15" s="112"/>
      <c r="AJ15" s="4">
        <f t="shared" si="4"/>
        <v>0</v>
      </c>
      <c r="AK15" s="4">
        <f t="shared" si="5"/>
        <v>0</v>
      </c>
    </row>
    <row r="16" spans="1:37" s="4" customFormat="1" ht="33.9" customHeight="1" x14ac:dyDescent="0.2">
      <c r="A16" s="88"/>
      <c r="B16" s="101"/>
      <c r="C16" s="124" t="s">
        <v>27</v>
      </c>
      <c r="D16" s="114" t="s">
        <v>28</v>
      </c>
      <c r="E16" s="92"/>
      <c r="F16" s="38"/>
      <c r="G16" s="92" t="s">
        <v>120</v>
      </c>
      <c r="H16" s="92" t="s">
        <v>120</v>
      </c>
      <c r="I16" s="38"/>
      <c r="J16" s="38"/>
      <c r="K16" s="38"/>
      <c r="L16" s="38"/>
      <c r="M16" s="38"/>
      <c r="N16" s="92" t="s">
        <v>120</v>
      </c>
      <c r="O16" s="92" t="s">
        <v>120</v>
      </c>
      <c r="P16" s="42"/>
      <c r="Q16" s="38"/>
      <c r="R16" s="38"/>
      <c r="S16" s="92" t="s">
        <v>120</v>
      </c>
      <c r="T16" s="38"/>
      <c r="U16" s="92"/>
      <c r="V16" s="92" t="s">
        <v>120</v>
      </c>
      <c r="W16" s="40"/>
      <c r="X16" s="40"/>
      <c r="Y16" s="42"/>
      <c r="Z16" s="43"/>
      <c r="AA16" s="39"/>
      <c r="AB16" s="92" t="s">
        <v>120</v>
      </c>
      <c r="AC16" s="92" t="s">
        <v>120</v>
      </c>
      <c r="AD16" s="40"/>
      <c r="AE16" s="38"/>
      <c r="AF16" s="40"/>
      <c r="AG16" s="39"/>
      <c r="AH16" s="40"/>
      <c r="AI16" s="112"/>
      <c r="AJ16" s="4">
        <f t="shared" si="4"/>
        <v>0</v>
      </c>
      <c r="AK16" s="4">
        <f t="shared" si="5"/>
        <v>0</v>
      </c>
    </row>
    <row r="17" spans="1:37" s="4" customFormat="1" ht="33.9" customHeight="1" x14ac:dyDescent="0.2">
      <c r="A17" s="89"/>
      <c r="B17" s="101"/>
      <c r="C17" s="124" t="s">
        <v>29</v>
      </c>
      <c r="D17" s="107" t="s">
        <v>30</v>
      </c>
      <c r="E17" s="92"/>
      <c r="F17" s="38"/>
      <c r="G17" s="92"/>
      <c r="H17" s="92" t="s">
        <v>120</v>
      </c>
      <c r="I17" s="92" t="s">
        <v>120</v>
      </c>
      <c r="J17" s="92" t="s">
        <v>120</v>
      </c>
      <c r="K17" s="38"/>
      <c r="L17" s="92" t="s">
        <v>120</v>
      </c>
      <c r="M17" s="38"/>
      <c r="N17" s="92"/>
      <c r="O17" s="92" t="s">
        <v>120</v>
      </c>
      <c r="P17" s="42"/>
      <c r="Q17" s="38"/>
      <c r="R17" s="38"/>
      <c r="S17" s="40"/>
      <c r="T17" s="38"/>
      <c r="U17" s="92" t="s">
        <v>120</v>
      </c>
      <c r="V17" s="92" t="s">
        <v>120</v>
      </c>
      <c r="W17" s="40"/>
      <c r="X17" s="38"/>
      <c r="Y17" s="40"/>
      <c r="Z17" s="92" t="s">
        <v>120</v>
      </c>
      <c r="AA17" s="40"/>
      <c r="AB17" s="92" t="s">
        <v>120</v>
      </c>
      <c r="AC17" s="92"/>
      <c r="AD17" s="40"/>
      <c r="AE17" s="38"/>
      <c r="AF17" s="40"/>
      <c r="AG17" s="40"/>
      <c r="AH17" s="40"/>
      <c r="AI17" s="112"/>
      <c r="AJ17" s="4">
        <f t="shared" si="4"/>
        <v>0</v>
      </c>
      <c r="AK17" s="4">
        <f t="shared" si="5"/>
        <v>0</v>
      </c>
    </row>
    <row r="18" spans="1:37" ht="32.25" customHeight="1" x14ac:dyDescent="0.2">
      <c r="A18" s="87"/>
      <c r="B18" s="101" t="s">
        <v>31</v>
      </c>
      <c r="C18" s="124" t="s">
        <v>32</v>
      </c>
      <c r="D18" s="113" t="s">
        <v>33</v>
      </c>
      <c r="E18" s="92"/>
      <c r="F18" s="38"/>
      <c r="G18" s="92" t="s">
        <v>120</v>
      </c>
      <c r="H18" s="92"/>
      <c r="I18" s="47"/>
      <c r="J18" s="38"/>
      <c r="K18" s="38"/>
      <c r="L18" s="47"/>
      <c r="M18" s="47"/>
      <c r="N18" s="92" t="s">
        <v>120</v>
      </c>
      <c r="O18" s="92" t="s">
        <v>120</v>
      </c>
      <c r="P18" s="38"/>
      <c r="Q18" s="38"/>
      <c r="R18" s="38"/>
      <c r="S18" s="39"/>
      <c r="T18" s="39"/>
      <c r="U18" s="92" t="s">
        <v>120</v>
      </c>
      <c r="V18" s="92"/>
      <c r="W18" s="92" t="s">
        <v>120</v>
      </c>
      <c r="X18" s="40"/>
      <c r="Y18" s="42"/>
      <c r="Z18" s="40"/>
      <c r="AA18" s="38"/>
      <c r="AB18" s="92"/>
      <c r="AC18" s="92" t="s">
        <v>120</v>
      </c>
      <c r="AD18" s="40"/>
      <c r="AE18" s="38"/>
      <c r="AF18" s="40"/>
      <c r="AG18" s="40"/>
      <c r="AH18" s="38"/>
      <c r="AI18" s="112"/>
      <c r="AJ18" s="4">
        <f t="shared" ref="AJ10:AJ18" si="6">COUNTIF($E18:$AI18,"前昼")</f>
        <v>0</v>
      </c>
      <c r="AK18" s="4">
        <f t="shared" ref="AK10:AK18" si="7">COUNTIF($E18:$AI18,"後昼")</f>
        <v>0</v>
      </c>
    </row>
    <row r="19" spans="1:37" s="4" customFormat="1" ht="33.6" customHeight="1" thickBot="1" x14ac:dyDescent="0.25">
      <c r="A19" s="99"/>
      <c r="B19" s="102" t="s">
        <v>31</v>
      </c>
      <c r="C19" s="126" t="s">
        <v>34</v>
      </c>
      <c r="D19" s="115" t="s">
        <v>35</v>
      </c>
      <c r="E19" s="95"/>
      <c r="F19" s="48"/>
      <c r="G19" s="92" t="s">
        <v>120</v>
      </c>
      <c r="H19" s="92" t="s">
        <v>120</v>
      </c>
      <c r="I19" s="74"/>
      <c r="J19" s="48"/>
      <c r="K19" s="48"/>
      <c r="L19" s="48"/>
      <c r="M19" s="48"/>
      <c r="N19" s="92" t="s">
        <v>120</v>
      </c>
      <c r="O19" s="92" t="s">
        <v>120</v>
      </c>
      <c r="P19" s="49"/>
      <c r="Q19" s="48"/>
      <c r="R19" s="48"/>
      <c r="S19" s="52"/>
      <c r="T19" s="50"/>
      <c r="U19" s="92" t="s">
        <v>120</v>
      </c>
      <c r="V19" s="92" t="s">
        <v>120</v>
      </c>
      <c r="W19" s="92" t="s">
        <v>120</v>
      </c>
      <c r="X19" s="48"/>
      <c r="Y19" s="48"/>
      <c r="Z19" s="51"/>
      <c r="AA19" s="52"/>
      <c r="AB19" s="92" t="s">
        <v>120</v>
      </c>
      <c r="AC19" s="92" t="s">
        <v>120</v>
      </c>
      <c r="AD19" s="51"/>
      <c r="AE19" s="48"/>
      <c r="AF19" s="51"/>
      <c r="AG19" s="51"/>
      <c r="AH19" s="51"/>
      <c r="AI19" s="116"/>
    </row>
    <row r="20" spans="1:37" ht="30.75" customHeight="1" x14ac:dyDescent="0.2">
      <c r="A20" s="127"/>
      <c r="B20" s="100"/>
      <c r="C20" s="128"/>
      <c r="D20" s="134" t="s">
        <v>36</v>
      </c>
      <c r="E20" s="78"/>
      <c r="F20" s="65"/>
      <c r="G20" s="7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117"/>
    </row>
    <row r="21" spans="1:37" ht="30.75" customHeight="1" x14ac:dyDescent="0.2">
      <c r="A21" s="129"/>
      <c r="B21" s="84"/>
      <c r="C21" s="130"/>
      <c r="D21" s="98" t="s">
        <v>37</v>
      </c>
      <c r="E21" s="79"/>
      <c r="F21" s="66"/>
      <c r="G21" s="76"/>
      <c r="H21" s="66"/>
      <c r="I21" s="6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118"/>
    </row>
    <row r="22" spans="1:37" ht="30.75" customHeight="1" x14ac:dyDescent="0.2">
      <c r="A22" s="129"/>
      <c r="B22" s="84"/>
      <c r="C22" s="130"/>
      <c r="D22" s="98" t="s">
        <v>38</v>
      </c>
      <c r="E22" s="79"/>
      <c r="F22" s="66"/>
      <c r="G22" s="66"/>
      <c r="H22" s="66"/>
      <c r="I22" s="66"/>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118"/>
    </row>
    <row r="23" spans="1:37" ht="30.75" customHeight="1" x14ac:dyDescent="0.2">
      <c r="A23" s="129"/>
      <c r="B23" s="84"/>
      <c r="C23" s="130"/>
      <c r="D23" s="98" t="s">
        <v>39</v>
      </c>
      <c r="E23" s="79"/>
      <c r="F23" s="66"/>
      <c r="G23" s="77"/>
      <c r="H23" s="66"/>
      <c r="I23" s="66"/>
      <c r="J23" s="66"/>
      <c r="K23" s="66"/>
      <c r="L23" s="66"/>
      <c r="M23" s="66"/>
      <c r="N23" s="66"/>
      <c r="O23" s="66"/>
      <c r="P23" s="66"/>
      <c r="Q23" s="66"/>
      <c r="R23" s="66"/>
      <c r="S23" s="66"/>
      <c r="T23" s="66"/>
      <c r="U23" s="66"/>
      <c r="V23" s="66"/>
      <c r="W23" s="66"/>
      <c r="X23" s="66"/>
      <c r="Y23" s="66"/>
      <c r="Z23" s="66"/>
      <c r="AA23" s="66"/>
      <c r="AB23" s="66"/>
      <c r="AC23" s="66"/>
      <c r="AD23" s="66"/>
      <c r="AE23" s="66"/>
      <c r="AF23" s="66"/>
      <c r="AG23" s="66"/>
      <c r="AH23" s="66"/>
      <c r="AI23" s="118"/>
    </row>
    <row r="24" spans="1:37" ht="30.75" customHeight="1" x14ac:dyDescent="0.2">
      <c r="A24" s="129"/>
      <c r="B24" s="84"/>
      <c r="C24" s="130"/>
      <c r="D24" s="98" t="s">
        <v>40</v>
      </c>
      <c r="E24" s="79"/>
      <c r="F24" s="66"/>
      <c r="G24" s="66"/>
      <c r="H24" s="66"/>
      <c r="I24" s="66"/>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118"/>
    </row>
    <row r="25" spans="1:37" ht="30.75" customHeight="1" x14ac:dyDescent="0.2">
      <c r="A25" s="129"/>
      <c r="B25" s="84"/>
      <c r="C25" s="130"/>
      <c r="D25" s="98" t="s">
        <v>41</v>
      </c>
      <c r="E25" s="79"/>
      <c r="F25" s="66"/>
      <c r="G25" s="66"/>
      <c r="H25" s="66"/>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118"/>
    </row>
    <row r="26" spans="1:37" ht="30.75" customHeight="1" x14ac:dyDescent="0.2">
      <c r="A26" s="129"/>
      <c r="B26" s="84"/>
      <c r="C26" s="130"/>
      <c r="D26" s="98" t="s">
        <v>42</v>
      </c>
      <c r="E26" s="79"/>
      <c r="F26" s="66"/>
      <c r="G26" s="66"/>
      <c r="H26" s="66"/>
      <c r="I26" s="66"/>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c r="AI26" s="118"/>
    </row>
    <row r="27" spans="1:37" ht="30.75" customHeight="1" thickBot="1" x14ac:dyDescent="0.25">
      <c r="A27" s="131"/>
      <c r="B27" s="132"/>
      <c r="C27" s="133"/>
      <c r="D27" s="135" t="s">
        <v>43</v>
      </c>
      <c r="E27" s="119"/>
      <c r="F27" s="120"/>
      <c r="G27" s="120"/>
      <c r="H27" s="120"/>
      <c r="I27" s="120"/>
      <c r="J27" s="120"/>
      <c r="K27" s="120"/>
      <c r="L27" s="120"/>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1"/>
    </row>
    <row r="28" spans="1:37" s="4" customFormat="1" ht="33.9" hidden="1" customHeight="1" x14ac:dyDescent="0.2">
      <c r="A28" s="68"/>
      <c r="B28" s="96" t="s">
        <v>44</v>
      </c>
      <c r="C28" s="97" t="s">
        <v>45</v>
      </c>
      <c r="D28" s="19" t="s">
        <v>46</v>
      </c>
      <c r="E28" s="59" t="str">
        <f>IFERROR(VLOOKUP(E9,振り分けマスタ!$A:$C,3,0),"〇")</f>
        <v>〇</v>
      </c>
      <c r="F28" s="59" t="str">
        <f>IFERROR(VLOOKUP(F9,振り分けマスタ!$A:$C,3,0),"〇")</f>
        <v>〇</v>
      </c>
      <c r="G28" s="59" t="str">
        <f>IFERROR(VLOOKUP(G9,振り分けマスタ!$A:$C,3,0),"〇")</f>
        <v>×</v>
      </c>
      <c r="H28" s="59" t="str">
        <f>IFERROR(VLOOKUP(H9,振り分けマスタ!$A:$C,3,0),"〇")</f>
        <v>〇</v>
      </c>
      <c r="I28" s="59" t="str">
        <f>IFERROR(VLOOKUP(I9,振り分けマスタ!$A:$C,3,0),"〇")</f>
        <v>〇</v>
      </c>
      <c r="J28" s="59" t="str">
        <f>IFERROR(VLOOKUP(J9,振り分けマスタ!$A:$C,3,0),"〇")</f>
        <v>〇</v>
      </c>
      <c r="K28" s="59" t="str">
        <f>IFERROR(VLOOKUP(K9,振り分けマスタ!$A:$C,3,0),"〇")</f>
        <v>〇</v>
      </c>
      <c r="L28" s="59" t="str">
        <f>IFERROR(VLOOKUP(L9,振り分けマスタ!$A:$C,3,0),"〇")</f>
        <v>〇</v>
      </c>
      <c r="M28" s="59" t="str">
        <f>IFERROR(VLOOKUP(M9,振り分けマスタ!$A:$C,3,0),"〇")</f>
        <v>〇</v>
      </c>
      <c r="N28" s="59" t="str">
        <f>IFERROR(VLOOKUP(N9,振り分けマスタ!$A:$C,3,0),"〇")</f>
        <v>〇</v>
      </c>
      <c r="O28" s="59" t="str">
        <f>IFERROR(VLOOKUP(O9,振り分けマスタ!$A:$C,3,0),"〇")</f>
        <v>×</v>
      </c>
      <c r="P28" s="59" t="str">
        <f>IFERROR(VLOOKUP(P9,振り分けマスタ!$A:$C,3,0),"〇")</f>
        <v>〇</v>
      </c>
      <c r="Q28" s="59" t="str">
        <f>IFERROR(VLOOKUP(Q9,振り分けマスタ!$A:$C,3,0),"〇")</f>
        <v>〇</v>
      </c>
      <c r="R28" s="59" t="str">
        <f>IFERROR(VLOOKUP(R9,振り分けマスタ!$A:$C,3,0),"〇")</f>
        <v>〇</v>
      </c>
      <c r="S28" s="59" t="str">
        <f>IFERROR(VLOOKUP(S9,振り分けマスタ!$A:$C,3,0),"〇")</f>
        <v>〇</v>
      </c>
      <c r="T28" s="59" t="str">
        <f>IFERROR(VLOOKUP(T9,振り分けマスタ!$A:$C,3,0),"〇")</f>
        <v>×</v>
      </c>
      <c r="U28" s="59" t="str">
        <f>IFERROR(VLOOKUP(U9,振り分けマスタ!$A:$C,3,0),"〇")</f>
        <v>×</v>
      </c>
      <c r="V28" s="59" t="str">
        <f>IFERROR(VLOOKUP(V9,振り分けマスタ!$A:$C,3,0),"〇")</f>
        <v>×</v>
      </c>
      <c r="W28" s="59" t="str">
        <f>IFERROR(VLOOKUP(W9,振り分けマスタ!$A:$C,3,0),"〇")</f>
        <v>〇</v>
      </c>
      <c r="X28" s="59" t="str">
        <f>IFERROR(VLOOKUP(X9,振り分けマスタ!$A:$C,3,0),"〇")</f>
        <v>〇</v>
      </c>
      <c r="Y28" s="59" t="str">
        <f>IFERROR(VLOOKUP(Y9,振り分けマスタ!$A:$C,3,0),"〇")</f>
        <v>〇</v>
      </c>
      <c r="Z28" s="59" t="str">
        <f>IFERROR(VLOOKUP(Z9,振り分けマスタ!$A:$C,3,0),"〇")</f>
        <v>〇</v>
      </c>
      <c r="AA28" s="59" t="str">
        <f>IFERROR(VLOOKUP(AA9,振り分けマスタ!$A:$C,3,0),"〇")</f>
        <v>〇</v>
      </c>
      <c r="AB28" s="59" t="str">
        <f>IFERROR(VLOOKUP(AB9,振り分けマスタ!$A:$C,3,0),"〇")</f>
        <v>×</v>
      </c>
      <c r="AC28" s="59" t="str">
        <f>IFERROR(VLOOKUP(AC9,振り分けマスタ!$A:$C,3,0),"〇")</f>
        <v>〇</v>
      </c>
      <c r="AD28" s="59" t="str">
        <f>IFERROR(VLOOKUP(AD9,振り分けマスタ!$A:$C,3,0),"〇")</f>
        <v>×</v>
      </c>
      <c r="AE28" s="59" t="str">
        <f>IFERROR(VLOOKUP(AE9,振り分けマスタ!$A:$C,3,0),"〇")</f>
        <v>×</v>
      </c>
      <c r="AF28" s="59" t="str">
        <f>IFERROR(VLOOKUP(AF9,振り分けマスタ!$A:$C,3,0),"〇")</f>
        <v>〇</v>
      </c>
      <c r="AG28" s="59" t="str">
        <f>IFERROR(VLOOKUP(AG9,振り分けマスタ!$A:$C,3,0),"〇")</f>
        <v>〇</v>
      </c>
      <c r="AH28" s="59" t="str">
        <f>IFERROR(VLOOKUP(AH9,振り分けマスタ!$A:$C,3,0),"〇")</f>
        <v>〇</v>
      </c>
      <c r="AI28" s="63" t="str">
        <f>IFERROR(VLOOKUP(AI9,振り分けマスタ!$A:$C,3,0),"〇")</f>
        <v>〇</v>
      </c>
    </row>
    <row r="29" spans="1:37" s="4" customFormat="1" ht="33.9" hidden="1" customHeight="1" x14ac:dyDescent="0.2">
      <c r="A29" s="68"/>
      <c r="B29" s="10" t="s">
        <v>47</v>
      </c>
      <c r="C29" s="11" t="s">
        <v>48</v>
      </c>
      <c r="D29" s="19" t="s">
        <v>49</v>
      </c>
      <c r="E29" s="59" t="str">
        <f>IFERROR(VLOOKUP(E10,振り分けマスタ!$A:$C,3,0),"〇")</f>
        <v>×</v>
      </c>
      <c r="F29" s="59" t="str">
        <f>IFERROR(VLOOKUP(F10,振り分けマスタ!$A:$C,3,0),"〇")</f>
        <v>〇</v>
      </c>
      <c r="G29" s="59" t="str">
        <f>IFERROR(VLOOKUP(G10,振り分けマスタ!$A:$C,3,0),"〇")</f>
        <v>〇</v>
      </c>
      <c r="H29" s="59" t="str">
        <f>IFERROR(VLOOKUP(H10,振り分けマスタ!$A:$C,3,0),"〇")</f>
        <v>×</v>
      </c>
      <c r="I29" s="59" t="str">
        <f>IFERROR(VLOOKUP(I10,振り分けマスタ!$A:$C,3,0),"〇")</f>
        <v>〇</v>
      </c>
      <c r="J29" s="59" t="str">
        <f>IFERROR(VLOOKUP(J10,振り分けマスタ!$A:$C,3,0),"〇")</f>
        <v>〇</v>
      </c>
      <c r="K29" s="59" t="str">
        <f>IFERROR(VLOOKUP(K10,振り分けマスタ!$A:$C,3,0),"〇")</f>
        <v>〇</v>
      </c>
      <c r="L29" s="59" t="str">
        <f>IFERROR(VLOOKUP(L10,振り分けマスタ!$A:$C,3,0),"〇")</f>
        <v>×</v>
      </c>
      <c r="M29" s="59" t="str">
        <f>IFERROR(VLOOKUP(M10,振り分けマスタ!$A:$C,3,0),"〇")</f>
        <v>×</v>
      </c>
      <c r="N29" s="59" t="str">
        <f>IFERROR(VLOOKUP(N10,振り分けマスタ!$A:$C,3,0),"〇")</f>
        <v>×</v>
      </c>
      <c r="O29" s="59" t="str">
        <f>IFERROR(VLOOKUP(O10,振り分けマスタ!$A:$C,3,0),"〇")</f>
        <v>×</v>
      </c>
      <c r="P29" s="59" t="str">
        <f>IFERROR(VLOOKUP(P10,振り分けマスタ!$A:$C,3,0),"〇")</f>
        <v>〇</v>
      </c>
      <c r="Q29" s="59" t="str">
        <f>IFERROR(VLOOKUP(Q10,振り分けマスタ!$A:$C,3,0),"〇")</f>
        <v>〇</v>
      </c>
      <c r="R29" s="59" t="str">
        <f>IFERROR(VLOOKUP(R10,振り分けマスタ!$A:$C,3,0),"〇")</f>
        <v>〇</v>
      </c>
      <c r="S29" s="59" t="str">
        <f>IFERROR(VLOOKUP(S10,振り分けマスタ!$A:$C,3,0),"〇")</f>
        <v>×</v>
      </c>
      <c r="T29" s="59" t="str">
        <f>IFERROR(VLOOKUP(T10,振り分けマスタ!$A:$C,3,0),"〇")</f>
        <v>×</v>
      </c>
      <c r="U29" s="59" t="str">
        <f>IFERROR(VLOOKUP(U10,振り分けマスタ!$A:$C,3,0),"〇")</f>
        <v>×</v>
      </c>
      <c r="V29" s="59" t="str">
        <f>IFERROR(VLOOKUP(V10,振り分けマスタ!$A:$C,3,0),"〇")</f>
        <v>〇</v>
      </c>
      <c r="W29" s="59" t="str">
        <f>IFERROR(VLOOKUP(W10,振り分けマスタ!$A:$C,3,0),"〇")</f>
        <v>×</v>
      </c>
      <c r="X29" s="59" t="str">
        <f>IFERROR(VLOOKUP(X10,振り分けマスタ!$A:$C,3,0),"〇")</f>
        <v>〇</v>
      </c>
      <c r="Y29" s="59" t="str">
        <f>IFERROR(VLOOKUP(Y10,振り分けマスタ!$A:$C,3,0),"〇")</f>
        <v>〇</v>
      </c>
      <c r="Z29" s="59" t="str">
        <f>IFERROR(VLOOKUP(Z10,振り分けマスタ!$A:$C,3,0),"〇")</f>
        <v>〇</v>
      </c>
      <c r="AA29" s="59" t="str">
        <f>IFERROR(VLOOKUP(AA10,振り分けマスタ!$A:$C,3,0),"〇")</f>
        <v>×</v>
      </c>
      <c r="AB29" s="59" t="str">
        <f>IFERROR(VLOOKUP(AB10,振り分けマスタ!$A:$C,3,0),"〇")</f>
        <v>×</v>
      </c>
      <c r="AC29" s="59" t="str">
        <f>IFERROR(VLOOKUP(AC10,振り分けマスタ!$A:$C,3,0),"〇")</f>
        <v>×</v>
      </c>
      <c r="AD29" s="59" t="str">
        <f>IFERROR(VLOOKUP(AD10,振り分けマスタ!$A:$C,3,0),"〇")</f>
        <v>×</v>
      </c>
      <c r="AE29" s="59" t="str">
        <f>IFERROR(VLOOKUP(AE10,振り分けマスタ!$A:$C,3,0),"〇")</f>
        <v>〇</v>
      </c>
      <c r="AF29" s="59" t="str">
        <f>IFERROR(VLOOKUP(AF10,振り分けマスタ!$A:$C,3,0),"〇")</f>
        <v>×</v>
      </c>
      <c r="AG29" s="59" t="str">
        <f>IFERROR(VLOOKUP(AG10,振り分けマスタ!$A:$C,3,0),"〇")</f>
        <v>〇</v>
      </c>
      <c r="AH29" s="59" t="str">
        <f>IFERROR(VLOOKUP(AH10,振り分けマスタ!$A:$C,3,0),"〇")</f>
        <v>〇</v>
      </c>
      <c r="AI29" s="63" t="str">
        <f>IFERROR(VLOOKUP(AI10,振り分けマスタ!$A:$C,3,0),"〇")</f>
        <v>〇</v>
      </c>
    </row>
    <row r="30" spans="1:37" s="4" customFormat="1" ht="33.75" hidden="1" customHeight="1" x14ac:dyDescent="0.2">
      <c r="A30" s="69"/>
      <c r="B30" s="10" t="s">
        <v>50</v>
      </c>
      <c r="C30" s="11" t="s">
        <v>51</v>
      </c>
      <c r="D30" s="25" t="s">
        <v>52</v>
      </c>
      <c r="E30" s="59" t="str">
        <f>IFERROR(VLOOKUP(E11,振り分けマスタ!$A:$C,3,0),"〇")</f>
        <v>〇</v>
      </c>
      <c r="F30" s="59" t="str">
        <f>IFERROR(VLOOKUP(F11,振り分けマスタ!$A:$C,3,0),"〇")</f>
        <v>〇</v>
      </c>
      <c r="G30" s="59" t="str">
        <f>IFERROR(VLOOKUP(G11,振り分けマスタ!$A:$C,3,0),"〇")</f>
        <v>×</v>
      </c>
      <c r="H30" s="59" t="str">
        <f>IFERROR(VLOOKUP(H11,振り分けマスタ!$A:$C,3,0),"〇")</f>
        <v>〇</v>
      </c>
      <c r="I30" s="59" t="str">
        <f>IFERROR(VLOOKUP(I11,振り分けマスタ!$A:$C,3,0),"〇")</f>
        <v>〇</v>
      </c>
      <c r="J30" s="59" t="str">
        <f>IFERROR(VLOOKUP(J11,振り分けマスタ!$A:$C,3,0),"〇")</f>
        <v>×</v>
      </c>
      <c r="K30" s="59" t="str">
        <f>IFERROR(VLOOKUP(K11,振り分けマスタ!$A:$C,3,0),"〇")</f>
        <v>〇</v>
      </c>
      <c r="L30" s="59" t="str">
        <f>IFERROR(VLOOKUP(L11,振り分けマスタ!$A:$C,3,0),"〇")</f>
        <v>×</v>
      </c>
      <c r="M30" s="59" t="str">
        <f>IFERROR(VLOOKUP(M11,振り分けマスタ!$A:$C,3,0),"〇")</f>
        <v>×</v>
      </c>
      <c r="N30" s="59" t="str">
        <f>IFERROR(VLOOKUP(N11,振り分けマスタ!$A:$C,3,0),"〇")</f>
        <v>×</v>
      </c>
      <c r="O30" s="59" t="str">
        <f>IFERROR(VLOOKUP(O11,振り分けマスタ!$A:$C,3,0),"〇")</f>
        <v>〇</v>
      </c>
      <c r="P30" s="59" t="str">
        <f>IFERROR(VLOOKUP(P11,振り分けマスタ!$A:$C,3,0),"〇")</f>
        <v>〇</v>
      </c>
      <c r="Q30" s="59" t="str">
        <f>IFERROR(VLOOKUP(Q11,振り分けマスタ!$A:$C,3,0),"〇")</f>
        <v>〇</v>
      </c>
      <c r="R30" s="59" t="str">
        <f>IFERROR(VLOOKUP(R11,振り分けマスタ!$A:$C,3,0),"〇")</f>
        <v>〇</v>
      </c>
      <c r="S30" s="59" t="str">
        <f>IFERROR(VLOOKUP(S11,振り分けマスタ!$A:$C,3,0),"〇")</f>
        <v>〇</v>
      </c>
      <c r="T30" s="59" t="str">
        <f>IFERROR(VLOOKUP(T11,振り分けマスタ!$A:$C,3,0),"〇")</f>
        <v>×</v>
      </c>
      <c r="U30" s="59" t="str">
        <f>IFERROR(VLOOKUP(U11,振り分けマスタ!$A:$C,3,0),"〇")</f>
        <v>〇</v>
      </c>
      <c r="V30" s="59" t="str">
        <f>IFERROR(VLOOKUP(V11,振り分けマスタ!$A:$C,3,0),"〇")</f>
        <v>×</v>
      </c>
      <c r="W30" s="59" t="str">
        <f>IFERROR(VLOOKUP(W11,振り分けマスタ!$A:$C,3,0),"〇")</f>
        <v>〇</v>
      </c>
      <c r="X30" s="59" t="str">
        <f>IFERROR(VLOOKUP(X11,振り分けマスタ!$A:$C,3,0),"〇")</f>
        <v>〇</v>
      </c>
      <c r="Y30" s="59" t="str">
        <f>IFERROR(VLOOKUP(Y11,振り分けマスタ!$A:$C,3,0),"〇")</f>
        <v>×</v>
      </c>
      <c r="Z30" s="59" t="str">
        <f>IFERROR(VLOOKUP(Z11,振り分けマスタ!$A:$C,3,0),"〇")</f>
        <v>〇</v>
      </c>
      <c r="AA30" s="59" t="str">
        <f>IFERROR(VLOOKUP(AA11,振り分けマスタ!$A:$C,3,0),"〇")</f>
        <v>×</v>
      </c>
      <c r="AB30" s="59" t="str">
        <f>IFERROR(VLOOKUP(AB11,振り分けマスタ!$A:$C,3,0),"〇")</f>
        <v>〇</v>
      </c>
      <c r="AC30" s="59" t="str">
        <f>IFERROR(VLOOKUP(AC11,振り分けマスタ!$A:$C,3,0),"〇")</f>
        <v>×</v>
      </c>
      <c r="AD30" s="59" t="str">
        <f>IFERROR(VLOOKUP(AD11,振り分けマスタ!$A:$C,3,0),"〇")</f>
        <v>〇</v>
      </c>
      <c r="AE30" s="59" t="str">
        <f>IFERROR(VLOOKUP(AE11,振り分けマスタ!$A:$C,3,0),"〇")</f>
        <v>〇</v>
      </c>
      <c r="AF30" s="59" t="str">
        <f>IFERROR(VLOOKUP(AF11,振り分けマスタ!$A:$C,3,0),"〇")</f>
        <v>〇</v>
      </c>
      <c r="AG30" s="59" t="str">
        <f>IFERROR(VLOOKUP(AG11,振り分けマスタ!$A:$C,3,0),"〇")</f>
        <v>〇</v>
      </c>
      <c r="AH30" s="59" t="str">
        <f>IFERROR(VLOOKUP(AH11,振り分けマスタ!$A:$C,3,0),"〇")</f>
        <v>〇</v>
      </c>
      <c r="AI30" s="63" t="str">
        <f>IFERROR(VLOOKUP(AI11,振り分けマスタ!$A:$C,3,0),"〇")</f>
        <v>〇</v>
      </c>
    </row>
    <row r="31" spans="1:37" s="4" customFormat="1" ht="33.75" hidden="1" customHeight="1" x14ac:dyDescent="0.2">
      <c r="A31" s="70"/>
      <c r="B31" s="10" t="s">
        <v>53</v>
      </c>
      <c r="C31" s="12" t="s">
        <v>54</v>
      </c>
      <c r="D31" s="26" t="s">
        <v>55</v>
      </c>
      <c r="E31" s="59" t="str">
        <f>IFERROR(VLOOKUP(E12,振り分けマスタ!$A:$C,3,0),"〇")</f>
        <v>〇</v>
      </c>
      <c r="F31" s="59" t="str">
        <f>IFERROR(VLOOKUP(F12,振り分けマスタ!$A:$C,3,0),"〇")</f>
        <v>×</v>
      </c>
      <c r="G31" s="59" t="str">
        <f>IFERROR(VLOOKUP(G12,振り分けマスタ!$A:$C,3,0),"〇")</f>
        <v>〇</v>
      </c>
      <c r="H31" s="59" t="str">
        <f>IFERROR(VLOOKUP(H12,振り分けマスタ!$A:$C,3,0),"〇")</f>
        <v>×</v>
      </c>
      <c r="I31" s="59" t="str">
        <f>IFERROR(VLOOKUP(I12,振り分けマスタ!$A:$C,3,0),"〇")</f>
        <v>〇</v>
      </c>
      <c r="J31" s="59" t="str">
        <f>IFERROR(VLOOKUP(J12,振り分けマスタ!$A:$C,3,0),"〇")</f>
        <v>〇</v>
      </c>
      <c r="K31" s="59" t="str">
        <f>IFERROR(VLOOKUP(K12,振り分けマスタ!$A:$C,3,0),"〇")</f>
        <v>〇</v>
      </c>
      <c r="L31" s="59" t="str">
        <f>IFERROR(VLOOKUP(L12,振り分けマスタ!$A:$C,3,0),"〇")</f>
        <v>×</v>
      </c>
      <c r="M31" s="59" t="str">
        <f>IFERROR(VLOOKUP(M12,振り分けマスタ!$A:$C,3,0),"〇")</f>
        <v>〇</v>
      </c>
      <c r="N31" s="59" t="str">
        <f>IFERROR(VLOOKUP(N12,振り分けマスタ!$A:$C,3,0),"〇")</f>
        <v>×</v>
      </c>
      <c r="O31" s="59" t="str">
        <f>IFERROR(VLOOKUP(O12,振り分けマスタ!$A:$C,3,0),"〇")</f>
        <v>×</v>
      </c>
      <c r="P31" s="59" t="str">
        <f>IFERROR(VLOOKUP(P12,振り分けマスタ!$A:$C,3,0),"〇")</f>
        <v>〇</v>
      </c>
      <c r="Q31" s="59" t="str">
        <f>IFERROR(VLOOKUP(Q12,振り分けマスタ!$A:$C,3,0),"〇")</f>
        <v>〇</v>
      </c>
      <c r="R31" s="59" t="str">
        <f>IFERROR(VLOOKUP(R12,振り分けマスタ!$A:$C,3,0),"〇")</f>
        <v>〇</v>
      </c>
      <c r="S31" s="59" t="str">
        <f>IFERROR(VLOOKUP(S12,振り分けマスタ!$A:$C,3,0),"〇")</f>
        <v>〇</v>
      </c>
      <c r="T31" s="59" t="str">
        <f>IFERROR(VLOOKUP(T12,振り分けマスタ!$A:$C,3,0),"〇")</f>
        <v>〇</v>
      </c>
      <c r="U31" s="59" t="str">
        <f>IFERROR(VLOOKUP(U12,振り分けマスタ!$A:$C,3,0),"〇")</f>
        <v>×</v>
      </c>
      <c r="V31" s="59" t="str">
        <f>IFERROR(VLOOKUP(V12,振り分けマスタ!$A:$C,3,0),"〇")</f>
        <v>×</v>
      </c>
      <c r="W31" s="59" t="str">
        <f>IFERROR(VLOOKUP(W12,振り分けマスタ!$A:$C,3,0),"〇")</f>
        <v>〇</v>
      </c>
      <c r="X31" s="59" t="str">
        <f>IFERROR(VLOOKUP(X12,振り分けマスタ!$A:$C,3,0),"〇")</f>
        <v>〇</v>
      </c>
      <c r="Y31" s="59" t="str">
        <f>IFERROR(VLOOKUP(Y12,振り分けマスタ!$A:$C,3,0),"〇")</f>
        <v>〇</v>
      </c>
      <c r="Z31" s="59" t="str">
        <f>IFERROR(VLOOKUP(Z12,振り分けマスタ!$A:$C,3,0),"〇")</f>
        <v>〇</v>
      </c>
      <c r="AA31" s="59" t="str">
        <f>IFERROR(VLOOKUP(AA12,振り分けマスタ!$A:$C,3,0),"〇")</f>
        <v>〇</v>
      </c>
      <c r="AB31" s="59" t="str">
        <f>IFERROR(VLOOKUP(AB12,振り分けマスタ!$A:$C,3,0),"〇")</f>
        <v>×</v>
      </c>
      <c r="AC31" s="59" t="str">
        <f>IFERROR(VLOOKUP(AC12,振り分けマスタ!$A:$C,3,0),"〇")</f>
        <v>〇</v>
      </c>
      <c r="AD31" s="59" t="str">
        <f>IFERROR(VLOOKUP(AD12,振り分けマスタ!$A:$C,3,0),"〇")</f>
        <v>〇</v>
      </c>
      <c r="AE31" s="59" t="str">
        <f>IFERROR(VLOOKUP(AE12,振り分けマスタ!$A:$C,3,0),"〇")</f>
        <v>〇</v>
      </c>
      <c r="AF31" s="59" t="str">
        <f>IFERROR(VLOOKUP(AF12,振り分けマスタ!$A:$C,3,0),"〇")</f>
        <v>〇</v>
      </c>
      <c r="AG31" s="59" t="str">
        <f>IFERROR(VLOOKUP(AG12,振り分けマスタ!$A:$C,3,0),"〇")</f>
        <v>×</v>
      </c>
      <c r="AH31" s="59" t="str">
        <f>IFERROR(VLOOKUP(AH12,振り分けマスタ!$A:$C,3,0),"〇")</f>
        <v>〇</v>
      </c>
      <c r="AI31" s="63" t="str">
        <f>IFERROR(VLOOKUP(AI12,振り分けマスタ!$A:$C,3,0),"〇")</f>
        <v>〇</v>
      </c>
    </row>
    <row r="32" spans="1:37" s="4" customFormat="1" ht="33.9" hidden="1" customHeight="1" x14ac:dyDescent="0.2">
      <c r="A32" s="70"/>
      <c r="B32" s="10" t="s">
        <v>56</v>
      </c>
      <c r="C32" s="12" t="s">
        <v>57</v>
      </c>
      <c r="D32" s="26" t="s">
        <v>58</v>
      </c>
      <c r="E32" s="59" t="str">
        <f>IFERROR(VLOOKUP(E13,振り分けマスタ!$A:$C,3,0),"〇")</f>
        <v>〇</v>
      </c>
      <c r="F32" s="59" t="str">
        <f>IFERROR(VLOOKUP(F13,振り分けマスタ!$A:$C,3,0),"〇")</f>
        <v>×</v>
      </c>
      <c r="G32" s="59" t="str">
        <f>IFERROR(VLOOKUP(G13,振り分けマスタ!$A:$C,3,0),"〇")</f>
        <v>×</v>
      </c>
      <c r="H32" s="59" t="str">
        <f>IFERROR(VLOOKUP(H13,振り分けマスタ!$A:$C,3,0),"〇")</f>
        <v>×</v>
      </c>
      <c r="I32" s="59" t="str">
        <f>IFERROR(VLOOKUP(I13,振り分けマスタ!$A:$C,3,0),"〇")</f>
        <v>〇</v>
      </c>
      <c r="J32" s="59" t="str">
        <f>IFERROR(VLOOKUP(J13,振り分けマスタ!$A:$C,3,0),"〇")</f>
        <v>〇</v>
      </c>
      <c r="K32" s="59" t="str">
        <f>IFERROR(VLOOKUP(K13,振り分けマスタ!$A:$C,3,0),"〇")</f>
        <v>×</v>
      </c>
      <c r="L32" s="59" t="str">
        <f>IFERROR(VLOOKUP(L13,振り分けマスタ!$A:$C,3,0),"〇")</f>
        <v>〇</v>
      </c>
      <c r="M32" s="59" t="str">
        <f>IFERROR(VLOOKUP(M13,振り分けマスタ!$A:$C,3,0),"〇")</f>
        <v>〇</v>
      </c>
      <c r="N32" s="59" t="str">
        <f>IFERROR(VLOOKUP(N13,振り分けマスタ!$A:$C,3,0),"〇")</f>
        <v>〇</v>
      </c>
      <c r="O32" s="59" t="str">
        <f>IFERROR(VLOOKUP(O13,振り分けマスタ!$A:$C,3,0),"〇")</f>
        <v>×</v>
      </c>
      <c r="P32" s="59" t="str">
        <f>IFERROR(VLOOKUP(P13,振り分けマスタ!$A:$C,3,0),"〇")</f>
        <v>〇</v>
      </c>
      <c r="Q32" s="59" t="str">
        <f>IFERROR(VLOOKUP(Q13,振り分けマスタ!$A:$C,3,0),"〇")</f>
        <v>〇</v>
      </c>
      <c r="R32" s="59" t="str">
        <f>IFERROR(VLOOKUP(R13,振り分けマスタ!$A:$C,3,0),"〇")</f>
        <v>〇</v>
      </c>
      <c r="S32" s="59" t="str">
        <f>IFERROR(VLOOKUP(S13,振り分けマスタ!$A:$C,3,0),"〇")</f>
        <v>〇</v>
      </c>
      <c r="T32" s="59" t="str">
        <f>IFERROR(VLOOKUP(T13,振り分けマスタ!$A:$C,3,0),"〇")</f>
        <v>×</v>
      </c>
      <c r="U32" s="59" t="str">
        <f>IFERROR(VLOOKUP(U13,振り分けマスタ!$A:$C,3,0),"〇")</f>
        <v>×</v>
      </c>
      <c r="V32" s="59" t="str">
        <f>IFERROR(VLOOKUP(V13,振り分けマスタ!$A:$C,3,0),"〇")</f>
        <v>×</v>
      </c>
      <c r="W32" s="59" t="str">
        <f>IFERROR(VLOOKUP(W13,振り分けマスタ!$A:$C,3,0),"〇")</f>
        <v>〇</v>
      </c>
      <c r="X32" s="59" t="str">
        <f>IFERROR(VLOOKUP(X13,振り分けマスタ!$A:$C,3,0),"〇")</f>
        <v>〇</v>
      </c>
      <c r="Y32" s="59" t="str">
        <f>IFERROR(VLOOKUP(Y13,振り分けマスタ!$A:$C,3,0),"〇")</f>
        <v>〇</v>
      </c>
      <c r="Z32" s="59" t="str">
        <f>IFERROR(VLOOKUP(Z13,振り分けマスタ!$A:$C,3,0),"〇")</f>
        <v>〇</v>
      </c>
      <c r="AA32" s="59" t="str">
        <f>IFERROR(VLOOKUP(AA13,振り分けマスタ!$A:$C,3,0),"〇")</f>
        <v>〇</v>
      </c>
      <c r="AB32" s="59" t="str">
        <f>IFERROR(VLOOKUP(AB13,振り分けマスタ!$A:$C,3,0),"〇")</f>
        <v>×</v>
      </c>
      <c r="AC32" s="59" t="str">
        <f>IFERROR(VLOOKUP(AC13,振り分けマスタ!$A:$C,3,0),"〇")</f>
        <v>×</v>
      </c>
      <c r="AD32" s="59" t="str">
        <f>IFERROR(VLOOKUP(AD13,振り分けマスタ!$A:$C,3,0),"〇")</f>
        <v>〇</v>
      </c>
      <c r="AE32" s="59" t="str">
        <f>IFERROR(VLOOKUP(AE13,振り分けマスタ!$A:$C,3,0),"〇")</f>
        <v>〇</v>
      </c>
      <c r="AF32" s="59" t="str">
        <f>IFERROR(VLOOKUP(AF13,振り分けマスタ!$A:$C,3,0),"〇")</f>
        <v>〇</v>
      </c>
      <c r="AG32" s="59" t="str">
        <f>IFERROR(VLOOKUP(AG13,振り分けマスタ!$A:$C,3,0),"〇")</f>
        <v>〇</v>
      </c>
      <c r="AH32" s="59" t="str">
        <f>IFERROR(VLOOKUP(AH13,振り分けマスタ!$A:$C,3,0),"〇")</f>
        <v>〇</v>
      </c>
      <c r="AI32" s="63" t="str">
        <f>IFERROR(VLOOKUP(AI13,振り分けマスタ!$A:$C,3,0),"〇")</f>
        <v>〇</v>
      </c>
    </row>
    <row r="33" spans="1:37" ht="32.25" hidden="1" customHeight="1" x14ac:dyDescent="0.2">
      <c r="A33" s="71"/>
      <c r="B33" s="10" t="s">
        <v>59</v>
      </c>
      <c r="C33" s="13" t="s">
        <v>60</v>
      </c>
      <c r="D33" s="26" t="s">
        <v>61</v>
      </c>
      <c r="E33" s="59" t="str">
        <f>IFERROR(VLOOKUP(E14,振り分けマスタ!$A:$C,3,0),"〇")</f>
        <v>〇</v>
      </c>
      <c r="F33" s="59" t="str">
        <f>IFERROR(VLOOKUP(F14,振り分けマスタ!$A:$C,3,0),"〇")</f>
        <v>〇</v>
      </c>
      <c r="G33" s="59" t="str">
        <f>IFERROR(VLOOKUP(G14,振り分けマスタ!$A:$C,3,0),"〇")</f>
        <v>×</v>
      </c>
      <c r="H33" s="59" t="str">
        <f>IFERROR(VLOOKUP(H14,振り分けマスタ!$A:$C,3,0),"〇")</f>
        <v>〇</v>
      </c>
      <c r="I33" s="59" t="str">
        <f>IFERROR(VLOOKUP(I14,振り分けマスタ!$A:$C,3,0),"〇")</f>
        <v>〇</v>
      </c>
      <c r="J33" s="59" t="str">
        <f>IFERROR(VLOOKUP(J14,振り分けマスタ!$A:$C,3,0),"〇")</f>
        <v>〇</v>
      </c>
      <c r="K33" s="59" t="str">
        <f>IFERROR(VLOOKUP(K14,振り分けマスタ!$A:$C,3,0),"〇")</f>
        <v>〇</v>
      </c>
      <c r="L33" s="59" t="str">
        <f>IFERROR(VLOOKUP(L14,振り分けマスタ!$A:$C,3,0),"〇")</f>
        <v>〇</v>
      </c>
      <c r="M33" s="59" t="str">
        <f>IFERROR(VLOOKUP(M14,振り分けマスタ!$A:$C,3,0),"〇")</f>
        <v>×</v>
      </c>
      <c r="N33" s="59" t="str">
        <f>IFERROR(VLOOKUP(N14,振り分けマスタ!$A:$C,3,0),"〇")</f>
        <v>×</v>
      </c>
      <c r="O33" s="59" t="str">
        <f>IFERROR(VLOOKUP(O14,振り分けマスタ!$A:$C,3,0),"〇")</f>
        <v>×</v>
      </c>
      <c r="P33" s="59" t="str">
        <f>IFERROR(VLOOKUP(P14,振り分けマスタ!$A:$C,3,0),"〇")</f>
        <v>×</v>
      </c>
      <c r="Q33" s="59" t="str">
        <f>IFERROR(VLOOKUP(Q14,振り分けマスタ!$A:$C,3,0),"〇")</f>
        <v>〇</v>
      </c>
      <c r="R33" s="59" t="str">
        <f>IFERROR(VLOOKUP(R14,振り分けマスタ!$A:$C,3,0),"〇")</f>
        <v>〇</v>
      </c>
      <c r="S33" s="59" t="str">
        <f>IFERROR(VLOOKUP(S14,振り分けマスタ!$A:$C,3,0),"〇")</f>
        <v>×</v>
      </c>
      <c r="T33" s="59" t="str">
        <f>IFERROR(VLOOKUP(T14,振り分けマスタ!$A:$C,3,0),"〇")</f>
        <v>〇</v>
      </c>
      <c r="U33" s="59" t="str">
        <f>IFERROR(VLOOKUP(U14,振り分けマスタ!$A:$C,3,0),"〇")</f>
        <v>×</v>
      </c>
      <c r="V33" s="59" t="str">
        <f>IFERROR(VLOOKUP(V14,振り分けマスタ!$A:$C,3,0),"〇")</f>
        <v>〇</v>
      </c>
      <c r="W33" s="59" t="str">
        <f>IFERROR(VLOOKUP(W14,振り分けマスタ!$A:$C,3,0),"〇")</f>
        <v>〇</v>
      </c>
      <c r="X33" s="59" t="str">
        <f>IFERROR(VLOOKUP(X14,振り分けマスタ!$A:$C,3,0),"〇")</f>
        <v>〇</v>
      </c>
      <c r="Y33" s="59" t="str">
        <f>IFERROR(VLOOKUP(Y14,振り分けマスタ!$A:$C,3,0),"〇")</f>
        <v>×</v>
      </c>
      <c r="Z33" s="59" t="str">
        <f>IFERROR(VLOOKUP(Z14,振り分けマスタ!$A:$C,3,0),"〇")</f>
        <v>〇</v>
      </c>
      <c r="AA33" s="59" t="str">
        <f>IFERROR(VLOOKUP(AA14,振り分けマスタ!$A:$C,3,0),"〇")</f>
        <v>〇</v>
      </c>
      <c r="AB33" s="59" t="str">
        <f>IFERROR(VLOOKUP(AB14,振り分けマスタ!$A:$C,3,0),"〇")</f>
        <v>〇</v>
      </c>
      <c r="AC33" s="59" t="str">
        <f>IFERROR(VLOOKUP(AC14,振り分けマスタ!$A:$C,3,0),"〇")</f>
        <v>×</v>
      </c>
      <c r="AD33" s="59" t="str">
        <f>IFERROR(VLOOKUP(AD14,振り分けマスタ!$A:$C,3,0),"〇")</f>
        <v>〇</v>
      </c>
      <c r="AE33" s="59" t="str">
        <f>IFERROR(VLOOKUP(AE14,振り分けマスタ!$A:$C,3,0),"〇")</f>
        <v>〇</v>
      </c>
      <c r="AF33" s="59" t="str">
        <f>IFERROR(VLOOKUP(AF14,振り分けマスタ!$A:$C,3,0),"〇")</f>
        <v>〇</v>
      </c>
      <c r="AG33" s="59" t="str">
        <f>IFERROR(VLOOKUP(AG14,振り分けマスタ!$A:$C,3,0),"〇")</f>
        <v>〇</v>
      </c>
      <c r="AH33" s="59" t="str">
        <f>IFERROR(VLOOKUP(AH14,振り分けマスタ!$A:$C,3,0),"〇")</f>
        <v>〇</v>
      </c>
      <c r="AI33" s="63" t="str">
        <f>IFERROR(VLOOKUP(AI14,振り分けマスタ!$A:$C,3,0),"〇")</f>
        <v>〇</v>
      </c>
      <c r="AJ33" s="4"/>
      <c r="AK33" s="4"/>
    </row>
    <row r="34" spans="1:37" ht="32.25" hidden="1" customHeight="1" x14ac:dyDescent="0.2">
      <c r="A34" s="71"/>
      <c r="B34" s="10" t="s">
        <v>62</v>
      </c>
      <c r="C34" s="13" t="s">
        <v>63</v>
      </c>
      <c r="D34" s="26" t="s">
        <v>64</v>
      </c>
      <c r="E34" s="59" t="str">
        <f>IFERROR(VLOOKUP(E15,振り分けマスタ!$A:$C,3,0),"〇")</f>
        <v>〇</v>
      </c>
      <c r="F34" s="59" t="str">
        <f>IFERROR(VLOOKUP(F15,振り分けマスタ!$A:$C,3,0),"〇")</f>
        <v>〇</v>
      </c>
      <c r="G34" s="59" t="str">
        <f>IFERROR(VLOOKUP(G15,振り分けマスタ!$A:$C,3,0),"〇")</f>
        <v>〇</v>
      </c>
      <c r="H34" s="59" t="str">
        <f>IFERROR(VLOOKUP(H15,振り分けマスタ!$A:$C,3,0),"〇")</f>
        <v>×</v>
      </c>
      <c r="I34" s="59" t="str">
        <f>IFERROR(VLOOKUP(I15,振り分けマスタ!$A:$C,3,0),"〇")</f>
        <v>〇</v>
      </c>
      <c r="J34" s="59" t="str">
        <f>IFERROR(VLOOKUP(J15,振り分けマスタ!$A:$C,3,0),"〇")</f>
        <v>〇</v>
      </c>
      <c r="K34" s="59" t="str">
        <f>IFERROR(VLOOKUP(K15,振り分けマスタ!$A:$C,3,0),"〇")</f>
        <v>〇</v>
      </c>
      <c r="L34" s="59" t="str">
        <f>IFERROR(VLOOKUP(L15,振り分けマスタ!$A:$C,3,0),"〇")</f>
        <v>〇</v>
      </c>
      <c r="M34" s="59" t="str">
        <f>IFERROR(VLOOKUP(M15,振り分けマスタ!$A:$C,3,0),"〇")</f>
        <v>〇</v>
      </c>
      <c r="N34" s="59" t="str">
        <f>IFERROR(VLOOKUP(N15,振り分けマスタ!$A:$C,3,0),"〇")</f>
        <v>×</v>
      </c>
      <c r="O34" s="59" t="str">
        <f>IFERROR(VLOOKUP(O15,振り分けマスタ!$A:$C,3,0),"〇")</f>
        <v>〇</v>
      </c>
      <c r="P34" s="59" t="str">
        <f>IFERROR(VLOOKUP(P15,振り分けマスタ!$A:$C,3,0),"〇")</f>
        <v>〇</v>
      </c>
      <c r="Q34" s="59" t="str">
        <f>IFERROR(VLOOKUP(Q15,振り分けマスタ!$A:$C,3,0),"〇")</f>
        <v>〇</v>
      </c>
      <c r="R34" s="59" t="str">
        <f>IFERROR(VLOOKUP(R15,振り分けマスタ!$A:$C,3,0),"〇")</f>
        <v>〇</v>
      </c>
      <c r="S34" s="59" t="str">
        <f>IFERROR(VLOOKUP(S15,振り分けマスタ!$A:$C,3,0),"〇")</f>
        <v>〇</v>
      </c>
      <c r="T34" s="59" t="str">
        <f>IFERROR(VLOOKUP(T15,振り分けマスタ!$A:$C,3,0),"〇")</f>
        <v>〇</v>
      </c>
      <c r="U34" s="59" t="str">
        <f>IFERROR(VLOOKUP(U15,振り分けマスタ!$A:$C,3,0),"〇")</f>
        <v>×</v>
      </c>
      <c r="V34" s="59" t="str">
        <f>IFERROR(VLOOKUP(V15,振り分けマスタ!$A:$C,3,0),"〇")</f>
        <v>×</v>
      </c>
      <c r="W34" s="59" t="str">
        <f>IFERROR(VLOOKUP(W15,振り分けマスタ!$A:$C,3,0),"〇")</f>
        <v>〇</v>
      </c>
      <c r="X34" s="59" t="str">
        <f>IFERROR(VLOOKUP(X15,振り分けマスタ!$A:$C,3,0),"〇")</f>
        <v>〇</v>
      </c>
      <c r="Y34" s="59" t="str">
        <f>IFERROR(VLOOKUP(Y15,振り分けマスタ!$A:$C,3,0),"〇")</f>
        <v>×</v>
      </c>
      <c r="Z34" s="59" t="str">
        <f>IFERROR(VLOOKUP(Z15,振り分けマスタ!$A:$C,3,0),"〇")</f>
        <v>〇</v>
      </c>
      <c r="AA34" s="59" t="str">
        <f>IFERROR(VLOOKUP(AA15,振り分けマスタ!$A:$C,3,0),"〇")</f>
        <v>〇</v>
      </c>
      <c r="AB34" s="59" t="str">
        <f>IFERROR(VLOOKUP(AB15,振り分けマスタ!$A:$C,3,0),"〇")</f>
        <v>×</v>
      </c>
      <c r="AC34" s="59" t="str">
        <f>IFERROR(VLOOKUP(AC15,振り分けマスタ!$A:$C,3,0),"〇")</f>
        <v>×</v>
      </c>
      <c r="AD34" s="59" t="str">
        <f>IFERROR(VLOOKUP(AD15,振り分けマスタ!$A:$C,3,0),"〇")</f>
        <v>〇</v>
      </c>
      <c r="AE34" s="59" t="str">
        <f>IFERROR(VLOOKUP(AE15,振り分けマスタ!$A:$C,3,0),"〇")</f>
        <v>〇</v>
      </c>
      <c r="AF34" s="59" t="str">
        <f>IFERROR(VLOOKUP(AF15,振り分けマスタ!$A:$C,3,0),"〇")</f>
        <v>〇</v>
      </c>
      <c r="AG34" s="59" t="str">
        <f>IFERROR(VLOOKUP(AG15,振り分けマスタ!$A:$C,3,0),"〇")</f>
        <v>〇</v>
      </c>
      <c r="AH34" s="59" t="str">
        <f>IFERROR(VLOOKUP(AH15,振り分けマスタ!$A:$C,3,0),"〇")</f>
        <v>〇</v>
      </c>
      <c r="AI34" s="63" t="str">
        <f>IFERROR(VLOOKUP(AI15,振り分けマスタ!$A:$C,3,0),"〇")</f>
        <v>〇</v>
      </c>
      <c r="AJ34" s="4"/>
      <c r="AK34" s="4"/>
    </row>
    <row r="35" spans="1:37" s="4" customFormat="1" ht="33.9" hidden="1" customHeight="1" x14ac:dyDescent="0.2">
      <c r="A35" s="72"/>
      <c r="B35" s="10" t="s">
        <v>65</v>
      </c>
      <c r="C35" s="14" t="s">
        <v>66</v>
      </c>
      <c r="D35" s="27" t="s">
        <v>67</v>
      </c>
      <c r="E35" s="59" t="str">
        <f>IFERROR(VLOOKUP(E16,振り分けマスタ!$A:$C,3,0),"〇")</f>
        <v>〇</v>
      </c>
      <c r="F35" s="59" t="str">
        <f>IFERROR(VLOOKUP(F16,振り分けマスタ!$A:$C,3,0),"〇")</f>
        <v>〇</v>
      </c>
      <c r="G35" s="59" t="str">
        <f>IFERROR(VLOOKUP(G16,振り分けマスタ!$A:$C,3,0),"〇")</f>
        <v>×</v>
      </c>
      <c r="H35" s="59" t="str">
        <f>IFERROR(VLOOKUP(H16,振り分けマスタ!$A:$C,3,0),"〇")</f>
        <v>×</v>
      </c>
      <c r="I35" s="59" t="str">
        <f>IFERROR(VLOOKUP(I16,振り分けマスタ!$A:$C,3,0),"〇")</f>
        <v>〇</v>
      </c>
      <c r="J35" s="59" t="str">
        <f>IFERROR(VLOOKUP(J16,振り分けマスタ!$A:$C,3,0),"〇")</f>
        <v>〇</v>
      </c>
      <c r="K35" s="59" t="str">
        <f>IFERROR(VLOOKUP(K16,振り分けマスタ!$A:$C,3,0),"〇")</f>
        <v>〇</v>
      </c>
      <c r="L35" s="59" t="str">
        <f>IFERROR(VLOOKUP(L16,振り分けマスタ!$A:$C,3,0),"〇")</f>
        <v>〇</v>
      </c>
      <c r="M35" s="59" t="str">
        <f>IFERROR(VLOOKUP(M16,振り分けマスタ!$A:$C,3,0),"〇")</f>
        <v>〇</v>
      </c>
      <c r="N35" s="59" t="str">
        <f>IFERROR(VLOOKUP(N16,振り分けマスタ!$A:$C,3,0),"〇")</f>
        <v>×</v>
      </c>
      <c r="O35" s="59" t="str">
        <f>IFERROR(VLOOKUP(O16,振り分けマスタ!$A:$C,3,0),"〇")</f>
        <v>×</v>
      </c>
      <c r="P35" s="59" t="str">
        <f>IFERROR(VLOOKUP(P16,振り分けマスタ!$A:$C,3,0),"〇")</f>
        <v>〇</v>
      </c>
      <c r="Q35" s="59" t="str">
        <f>IFERROR(VLOOKUP(Q16,振り分けマスタ!$A:$C,3,0),"〇")</f>
        <v>〇</v>
      </c>
      <c r="R35" s="59" t="str">
        <f>IFERROR(VLOOKUP(R16,振り分けマスタ!$A:$C,3,0),"〇")</f>
        <v>〇</v>
      </c>
      <c r="S35" s="59" t="str">
        <f>IFERROR(VLOOKUP(S16,振り分けマスタ!$A:$C,3,0),"〇")</f>
        <v>×</v>
      </c>
      <c r="T35" s="59" t="str">
        <f>IFERROR(VLOOKUP(T16,振り分けマスタ!$A:$C,3,0),"〇")</f>
        <v>〇</v>
      </c>
      <c r="U35" s="59" t="str">
        <f>IFERROR(VLOOKUP(U16,振り分けマスタ!$A:$C,3,0),"〇")</f>
        <v>〇</v>
      </c>
      <c r="V35" s="59" t="str">
        <f>IFERROR(VLOOKUP(V16,振り分けマスタ!$A:$C,3,0),"〇")</f>
        <v>×</v>
      </c>
      <c r="W35" s="59" t="str">
        <f>IFERROR(VLOOKUP(W16,振り分けマスタ!$A:$C,3,0),"〇")</f>
        <v>〇</v>
      </c>
      <c r="X35" s="59" t="str">
        <f>IFERROR(VLOOKUP(X16,振り分けマスタ!$A:$C,3,0),"〇")</f>
        <v>〇</v>
      </c>
      <c r="Y35" s="59" t="str">
        <f>IFERROR(VLOOKUP(Y16,振り分けマスタ!$A:$C,3,0),"〇")</f>
        <v>〇</v>
      </c>
      <c r="Z35" s="59" t="str">
        <f>IFERROR(VLOOKUP(Z16,振り分けマスタ!$A:$C,3,0),"〇")</f>
        <v>〇</v>
      </c>
      <c r="AA35" s="59" t="str">
        <f>IFERROR(VLOOKUP(AA16,振り分けマスタ!$A:$C,3,0),"〇")</f>
        <v>〇</v>
      </c>
      <c r="AB35" s="59" t="str">
        <f>IFERROR(VLOOKUP(AB16,振り分けマスタ!$A:$C,3,0),"〇")</f>
        <v>×</v>
      </c>
      <c r="AC35" s="59" t="str">
        <f>IFERROR(VLOOKUP(AC16,振り分けマスタ!$A:$C,3,0),"〇")</f>
        <v>×</v>
      </c>
      <c r="AD35" s="59" t="str">
        <f>IFERROR(VLOOKUP(AD16,振り分けマスタ!$A:$C,3,0),"〇")</f>
        <v>〇</v>
      </c>
      <c r="AE35" s="59" t="str">
        <f>IFERROR(VLOOKUP(AE16,振り分けマスタ!$A:$C,3,0),"〇")</f>
        <v>〇</v>
      </c>
      <c r="AF35" s="59" t="str">
        <f>IFERROR(VLOOKUP(AF16,振り分けマスタ!$A:$C,3,0),"〇")</f>
        <v>〇</v>
      </c>
      <c r="AG35" s="59" t="str">
        <f>IFERROR(VLOOKUP(AG16,振り分けマスタ!$A:$C,3,0),"〇")</f>
        <v>〇</v>
      </c>
      <c r="AH35" s="59" t="str">
        <f>IFERROR(VLOOKUP(AH16,振り分けマスタ!$A:$C,3,0),"〇")</f>
        <v>〇</v>
      </c>
      <c r="AI35" s="63" t="str">
        <f>IFERROR(VLOOKUP(AI16,振り分けマスタ!$A:$C,3,0),"〇")</f>
        <v>〇</v>
      </c>
    </row>
    <row r="36" spans="1:37" s="4" customFormat="1" ht="33.9" hidden="1" customHeight="1" x14ac:dyDescent="0.2">
      <c r="A36" s="73"/>
      <c r="B36" s="10" t="s">
        <v>68</v>
      </c>
      <c r="C36" s="15" t="s">
        <v>69</v>
      </c>
      <c r="D36" s="19" t="s">
        <v>70</v>
      </c>
      <c r="E36" s="59" t="str">
        <f>IFERROR(VLOOKUP(E17,振り分けマスタ!$A:$C,3,0),"〇")</f>
        <v>〇</v>
      </c>
      <c r="F36" s="59" t="str">
        <f>IFERROR(VLOOKUP(F17,振り分けマスタ!$A:$C,3,0),"〇")</f>
        <v>〇</v>
      </c>
      <c r="G36" s="59" t="str">
        <f>IFERROR(VLOOKUP(G17,振り分けマスタ!$A:$C,3,0),"〇")</f>
        <v>〇</v>
      </c>
      <c r="H36" s="59" t="str">
        <f>IFERROR(VLOOKUP(H17,振り分けマスタ!$A:$C,3,0),"〇")</f>
        <v>×</v>
      </c>
      <c r="I36" s="59" t="str">
        <f>IFERROR(VLOOKUP(I17,振り分けマスタ!$A:$C,3,0),"〇")</f>
        <v>×</v>
      </c>
      <c r="J36" s="59" t="str">
        <f>IFERROR(VLOOKUP(J17,振り分けマスタ!$A:$C,3,0),"〇")</f>
        <v>×</v>
      </c>
      <c r="K36" s="59" t="str">
        <f>IFERROR(VLOOKUP(K17,振り分けマスタ!$A:$C,3,0),"〇")</f>
        <v>〇</v>
      </c>
      <c r="L36" s="59" t="str">
        <f>IFERROR(VLOOKUP(L17,振り分けマスタ!$A:$C,3,0),"〇")</f>
        <v>×</v>
      </c>
      <c r="M36" s="59" t="str">
        <f>IFERROR(VLOOKUP(M17,振り分けマスタ!$A:$C,3,0),"〇")</f>
        <v>〇</v>
      </c>
      <c r="N36" s="59" t="str">
        <f>IFERROR(VLOOKUP(N17,振り分けマスタ!$A:$C,3,0),"〇")</f>
        <v>〇</v>
      </c>
      <c r="O36" s="59" t="str">
        <f>IFERROR(VLOOKUP(O17,振り分けマスタ!$A:$C,3,0),"〇")</f>
        <v>×</v>
      </c>
      <c r="P36" s="59" t="str">
        <f>IFERROR(VLOOKUP(P17,振り分けマスタ!$A:$C,3,0),"〇")</f>
        <v>〇</v>
      </c>
      <c r="Q36" s="59" t="str">
        <f>IFERROR(VLOOKUP(Q17,振り分けマスタ!$A:$C,3,0),"〇")</f>
        <v>〇</v>
      </c>
      <c r="R36" s="59" t="str">
        <f>IFERROR(VLOOKUP(R17,振り分けマスタ!$A:$C,3,0),"〇")</f>
        <v>〇</v>
      </c>
      <c r="S36" s="59" t="str">
        <f>IFERROR(VLOOKUP(S17,振り分けマスタ!$A:$C,3,0),"〇")</f>
        <v>〇</v>
      </c>
      <c r="T36" s="59" t="str">
        <f>IFERROR(VLOOKUP(T17,振り分けマスタ!$A:$C,3,0),"〇")</f>
        <v>〇</v>
      </c>
      <c r="U36" s="59" t="str">
        <f>IFERROR(VLOOKUP(U17,振り分けマスタ!$A:$C,3,0),"〇")</f>
        <v>×</v>
      </c>
      <c r="V36" s="59" t="str">
        <f>IFERROR(VLOOKUP(V17,振り分けマスタ!$A:$C,3,0),"〇")</f>
        <v>×</v>
      </c>
      <c r="W36" s="59" t="str">
        <f>IFERROR(VLOOKUP(W17,振り分けマスタ!$A:$C,3,0),"〇")</f>
        <v>〇</v>
      </c>
      <c r="X36" s="59" t="str">
        <f>IFERROR(VLOOKUP(X17,振り分けマスタ!$A:$C,3,0),"〇")</f>
        <v>〇</v>
      </c>
      <c r="Y36" s="59" t="str">
        <f>IFERROR(VLOOKUP(Y17,振り分けマスタ!$A:$C,3,0),"〇")</f>
        <v>〇</v>
      </c>
      <c r="Z36" s="59" t="str">
        <f>IFERROR(VLOOKUP(Z17,振り分けマスタ!$A:$C,3,0),"〇")</f>
        <v>×</v>
      </c>
      <c r="AA36" s="59" t="str">
        <f>IFERROR(VLOOKUP(AA17,振り分けマスタ!$A:$C,3,0),"〇")</f>
        <v>〇</v>
      </c>
      <c r="AB36" s="59" t="str">
        <f>IFERROR(VLOOKUP(AB17,振り分けマスタ!$A:$C,3,0),"〇")</f>
        <v>×</v>
      </c>
      <c r="AC36" s="59" t="str">
        <f>IFERROR(VLOOKUP(AC17,振り分けマスタ!$A:$C,3,0),"〇")</f>
        <v>〇</v>
      </c>
      <c r="AD36" s="59" t="str">
        <f>IFERROR(VLOOKUP(AD17,振り分けマスタ!$A:$C,3,0),"〇")</f>
        <v>〇</v>
      </c>
      <c r="AE36" s="59" t="str">
        <f>IFERROR(VLOOKUP(AE17,振り分けマスタ!$A:$C,3,0),"〇")</f>
        <v>〇</v>
      </c>
      <c r="AF36" s="59" t="str">
        <f>IFERROR(VLOOKUP(AF17,振り分けマスタ!$A:$C,3,0),"〇")</f>
        <v>〇</v>
      </c>
      <c r="AG36" s="59" t="str">
        <f>IFERROR(VLOOKUP(AG17,振り分けマスタ!$A:$C,3,0),"〇")</f>
        <v>〇</v>
      </c>
      <c r="AH36" s="59" t="str">
        <f>IFERROR(VLOOKUP(AH17,振り分けマスタ!$A:$C,3,0),"〇")</f>
        <v>〇</v>
      </c>
      <c r="AI36" s="63" t="str">
        <f>IFERROR(VLOOKUP(AI17,振り分けマスタ!$A:$C,3,0),"〇")</f>
        <v>〇</v>
      </c>
    </row>
    <row r="37" spans="1:37" ht="32.25" hidden="1" customHeight="1" x14ac:dyDescent="0.2">
      <c r="A37" s="71"/>
      <c r="B37" s="10" t="s">
        <v>71</v>
      </c>
      <c r="C37" s="13"/>
      <c r="D37" s="26" t="s">
        <v>72</v>
      </c>
      <c r="E37" s="59" t="str">
        <f>IFERROR(VLOOKUP(E18,振り分けマスタ!$A:$C,3,0),"〇")</f>
        <v>〇</v>
      </c>
      <c r="F37" s="59" t="str">
        <f>IFERROR(VLOOKUP(F18,振り分けマスタ!$A:$C,3,0),"〇")</f>
        <v>〇</v>
      </c>
      <c r="G37" s="59" t="str">
        <f>IFERROR(VLOOKUP(G18,振り分けマスタ!$A:$C,3,0),"〇")</f>
        <v>×</v>
      </c>
      <c r="H37" s="59" t="str">
        <f>IFERROR(VLOOKUP(H18,振り分けマスタ!$A:$C,3,0),"〇")</f>
        <v>〇</v>
      </c>
      <c r="I37" s="59" t="str">
        <f>IFERROR(VLOOKUP(I18,振り分けマスタ!$A:$C,3,0),"〇")</f>
        <v>〇</v>
      </c>
      <c r="J37" s="59" t="str">
        <f>IFERROR(VLOOKUP(J18,振り分けマスタ!$A:$C,3,0),"〇")</f>
        <v>〇</v>
      </c>
      <c r="K37" s="59" t="str">
        <f>IFERROR(VLOOKUP(K18,振り分けマスタ!$A:$C,3,0),"〇")</f>
        <v>〇</v>
      </c>
      <c r="L37" s="59" t="str">
        <f>IFERROR(VLOOKUP(L18,振り分けマスタ!$A:$C,3,0),"〇")</f>
        <v>〇</v>
      </c>
      <c r="M37" s="59" t="str">
        <f>IFERROR(VLOOKUP(M18,振り分けマスタ!$A:$C,3,0),"〇")</f>
        <v>〇</v>
      </c>
      <c r="N37" s="59" t="str">
        <f>IFERROR(VLOOKUP(N18,振り分けマスタ!$A:$C,3,0),"〇")</f>
        <v>×</v>
      </c>
      <c r="O37" s="59" t="str">
        <f>IFERROR(VLOOKUP(O18,振り分けマスタ!$A:$C,3,0),"〇")</f>
        <v>×</v>
      </c>
      <c r="P37" s="59" t="str">
        <f>IFERROR(VLOOKUP(P18,振り分けマスタ!$A:$C,3,0),"〇")</f>
        <v>〇</v>
      </c>
      <c r="Q37" s="59" t="str">
        <f>IFERROR(VLOOKUP(Q18,振り分けマスタ!$A:$C,3,0),"〇")</f>
        <v>〇</v>
      </c>
      <c r="R37" s="59" t="str">
        <f>IFERROR(VLOOKUP(R18,振り分けマスタ!$A:$C,3,0),"〇")</f>
        <v>〇</v>
      </c>
      <c r="S37" s="59" t="str">
        <f>IFERROR(VLOOKUP(S18,振り分けマスタ!$A:$C,3,0),"〇")</f>
        <v>〇</v>
      </c>
      <c r="T37" s="59" t="str">
        <f>IFERROR(VLOOKUP(T18,振り分けマスタ!$A:$C,3,0),"〇")</f>
        <v>〇</v>
      </c>
      <c r="U37" s="59" t="str">
        <f>IFERROR(VLOOKUP(U18,振り分けマスタ!$A:$C,3,0),"〇")</f>
        <v>×</v>
      </c>
      <c r="V37" s="59" t="str">
        <f>IFERROR(VLOOKUP(V18,振り分けマスタ!$A:$C,3,0),"〇")</f>
        <v>〇</v>
      </c>
      <c r="W37" s="59" t="str">
        <f>IFERROR(VLOOKUP(W18,振り分けマスタ!$A:$C,3,0),"〇")</f>
        <v>×</v>
      </c>
      <c r="X37" s="59" t="str">
        <f>IFERROR(VLOOKUP(X18,振り分けマスタ!$A:$C,3,0),"〇")</f>
        <v>〇</v>
      </c>
      <c r="Y37" s="59" t="str">
        <f>IFERROR(VLOOKUP(Y18,振り分けマスタ!$A:$C,3,0),"〇")</f>
        <v>〇</v>
      </c>
      <c r="Z37" s="59" t="str">
        <f>IFERROR(VLOOKUP(Z18,振り分けマスタ!$A:$C,3,0),"〇")</f>
        <v>〇</v>
      </c>
      <c r="AA37" s="59" t="str">
        <f>IFERROR(VLOOKUP(AA18,振り分けマスタ!$A:$C,3,0),"〇")</f>
        <v>〇</v>
      </c>
      <c r="AB37" s="59" t="str">
        <f>IFERROR(VLOOKUP(AB18,振り分けマスタ!$A:$C,3,0),"〇")</f>
        <v>〇</v>
      </c>
      <c r="AC37" s="59" t="str">
        <f>IFERROR(VLOOKUP(AC18,振り分けマスタ!$A:$C,3,0),"〇")</f>
        <v>×</v>
      </c>
      <c r="AD37" s="59" t="str">
        <f>IFERROR(VLOOKUP(AD18,振り分けマスタ!$A:$C,3,0),"〇")</f>
        <v>〇</v>
      </c>
      <c r="AE37" s="59" t="str">
        <f>IFERROR(VLOOKUP(AE18,振り分けマスタ!$A:$C,3,0),"〇")</f>
        <v>〇</v>
      </c>
      <c r="AF37" s="59" t="str">
        <f>IFERROR(VLOOKUP(AF18,振り分けマスタ!$A:$C,3,0),"〇")</f>
        <v>〇</v>
      </c>
      <c r="AG37" s="59" t="str">
        <f>IFERROR(VLOOKUP(AG18,振り分けマスタ!$A:$C,3,0),"〇")</f>
        <v>〇</v>
      </c>
      <c r="AH37" s="59" t="str">
        <f>IFERROR(VLOOKUP(AH18,振り分けマスタ!$A:$C,3,0),"〇")</f>
        <v>〇</v>
      </c>
      <c r="AI37" s="63" t="str">
        <f>IFERROR(VLOOKUP(AI18,振り分けマスタ!$A:$C,3,0),"〇")</f>
        <v>〇</v>
      </c>
      <c r="AJ37" s="4"/>
      <c r="AK37" s="4"/>
    </row>
    <row r="38" spans="1:37" s="4" customFormat="1" ht="33.9" hidden="1" customHeight="1" thickBot="1" x14ac:dyDescent="0.25">
      <c r="A38" s="67"/>
      <c r="B38" s="8" t="s">
        <v>73</v>
      </c>
      <c r="C38" s="9"/>
      <c r="D38" s="28" t="s">
        <v>74</v>
      </c>
      <c r="E38" s="31" t="str">
        <f>IFERROR(VLOOKUP(E19,振り分けマスタ!$A:$C,3,0),"〇")</f>
        <v>〇</v>
      </c>
      <c r="F38" s="31" t="str">
        <f>IFERROR(VLOOKUP(F19,振り分けマスタ!$A:$C,3,0),"〇")</f>
        <v>〇</v>
      </c>
      <c r="G38" s="31" t="str">
        <f>IFERROR(VLOOKUP(G19,振り分けマスタ!$A:$C,3,0),"〇")</f>
        <v>×</v>
      </c>
      <c r="H38" s="31" t="str">
        <f>IFERROR(VLOOKUP(H19,振り分けマスタ!$A:$C,3,0),"〇")</f>
        <v>×</v>
      </c>
      <c r="I38" s="31" t="str">
        <f>IFERROR(VLOOKUP(I19,振り分けマスタ!$A:$C,3,0),"〇")</f>
        <v>〇</v>
      </c>
      <c r="J38" s="31" t="str">
        <f>IFERROR(VLOOKUP(J19,振り分けマスタ!$A:$C,3,0),"〇")</f>
        <v>〇</v>
      </c>
      <c r="K38" s="31" t="str">
        <f>IFERROR(VLOOKUP(K19,振り分けマスタ!$A:$C,3,0),"〇")</f>
        <v>〇</v>
      </c>
      <c r="L38" s="31" t="str">
        <f>IFERROR(VLOOKUP(L19,振り分けマスタ!$A:$C,3,0),"〇")</f>
        <v>〇</v>
      </c>
      <c r="M38" s="31" t="str">
        <f>IFERROR(VLOOKUP(M19,振り分けマスタ!$A:$C,3,0),"〇")</f>
        <v>〇</v>
      </c>
      <c r="N38" s="31" t="str">
        <f>IFERROR(VLOOKUP(N19,振り分けマスタ!$A:$C,3,0),"〇")</f>
        <v>×</v>
      </c>
      <c r="O38" s="31" t="str">
        <f>IFERROR(VLOOKUP(O19,振り分けマスタ!$A:$C,3,0),"〇")</f>
        <v>×</v>
      </c>
      <c r="P38" s="31" t="str">
        <f>IFERROR(VLOOKUP(P19,振り分けマスタ!$A:$C,3,0),"〇")</f>
        <v>〇</v>
      </c>
      <c r="Q38" s="31" t="str">
        <f>IFERROR(VLOOKUP(Q19,振り分けマスタ!$A:$C,3,0),"〇")</f>
        <v>〇</v>
      </c>
      <c r="R38" s="31" t="str">
        <f>IFERROR(VLOOKUP(R19,振り分けマスタ!$A:$C,3,0),"〇")</f>
        <v>〇</v>
      </c>
      <c r="S38" s="31" t="str">
        <f>IFERROR(VLOOKUP(S19,振り分けマスタ!$A:$C,3,0),"〇")</f>
        <v>〇</v>
      </c>
      <c r="T38" s="31" t="str">
        <f>IFERROR(VLOOKUP(T19,振り分けマスタ!$A:$C,3,0),"〇")</f>
        <v>〇</v>
      </c>
      <c r="U38" s="31" t="str">
        <f>IFERROR(VLOOKUP(U19,振り分けマスタ!$A:$C,3,0),"〇")</f>
        <v>×</v>
      </c>
      <c r="V38" s="31" t="str">
        <f>IFERROR(VLOOKUP(V19,振り分けマスタ!$A:$C,3,0),"〇")</f>
        <v>×</v>
      </c>
      <c r="W38" s="31" t="str">
        <f>IFERROR(VLOOKUP(W19,振り分けマスタ!$A:$C,3,0),"〇")</f>
        <v>×</v>
      </c>
      <c r="X38" s="31" t="str">
        <f>IFERROR(VLOOKUP(X19,振り分けマスタ!$A:$C,3,0),"〇")</f>
        <v>〇</v>
      </c>
      <c r="Y38" s="31" t="str">
        <f>IFERROR(VLOOKUP(Y19,振り分けマスタ!$A:$C,3,0),"〇")</f>
        <v>〇</v>
      </c>
      <c r="Z38" s="31" t="str">
        <f>IFERROR(VLOOKUP(Z19,振り分けマスタ!$A:$C,3,0),"〇")</f>
        <v>〇</v>
      </c>
      <c r="AA38" s="31" t="str">
        <f>IFERROR(VLOOKUP(AA19,振り分けマスタ!$A:$C,3,0),"〇")</f>
        <v>〇</v>
      </c>
      <c r="AB38" s="31" t="str">
        <f>IFERROR(VLOOKUP(AB19,振り分けマスタ!$A:$C,3,0),"〇")</f>
        <v>×</v>
      </c>
      <c r="AC38" s="31" t="str">
        <f>IFERROR(VLOOKUP(AC19,振り分けマスタ!$A:$C,3,0),"〇")</f>
        <v>×</v>
      </c>
      <c r="AD38" s="31" t="str">
        <f>IFERROR(VLOOKUP(AD19,振り分けマスタ!$A:$C,3,0),"〇")</f>
        <v>〇</v>
      </c>
      <c r="AE38" s="31" t="str">
        <f>IFERROR(VLOOKUP(AE19,振り分けマスタ!$A:$C,3,0),"〇")</f>
        <v>〇</v>
      </c>
      <c r="AF38" s="31" t="str">
        <f>IFERROR(VLOOKUP(AF19,振り分けマスタ!$A:$C,3,0),"〇")</f>
        <v>〇</v>
      </c>
      <c r="AG38" s="31" t="str">
        <f>IFERROR(VLOOKUP(AG19,振り分けマスタ!$A:$C,3,0),"〇")</f>
        <v>〇</v>
      </c>
      <c r="AH38" s="31" t="str">
        <f>IFERROR(VLOOKUP(AH19,振り分けマスタ!$A:$C,3,0),"〇")</f>
        <v>〇</v>
      </c>
      <c r="AI38" s="64" t="str">
        <f>IFERROR(VLOOKUP(AI19,振り分けマスタ!$A:$C,3,0),"〇")</f>
        <v>〇</v>
      </c>
    </row>
  </sheetData>
  <customSheetViews>
    <customSheetView guid="{CAD02746-BE67-464E-B984-9A8BC8B2F47F}" scale="55" showPageBreaks="1" fitToPage="1" printArea="1">
      <pane xSplit="1" ySplit="4" topLeftCell="B5" activePane="bottomRight" state="frozen"/>
      <selection pane="bottomRight"/>
      <pageMargins left="0" right="0" top="0" bottom="0" header="0" footer="0"/>
      <printOptions horizontalCentered="1" verticalCentered="1"/>
      <pageSetup paperSize="9" scale="72" orientation="landscape" verticalDpi="200" r:id="rId1"/>
      <headerFooter alignWithMargins="0"/>
    </customSheetView>
    <customSheetView guid="{3773826B-E399-4EC1-A77E-D20731129208}" scale="70" fitToPage="1" printArea="1">
      <pane xSplit="1" ySplit="4" topLeftCell="B5" activePane="bottomRight" state="frozen"/>
      <selection pane="bottomRight" sqref="A1:C2"/>
      <pageMargins left="0" right="0" top="0" bottom="0" header="0" footer="0"/>
      <printOptions horizontalCentered="1" verticalCentered="1"/>
      <pageSetup paperSize="9" scale="61" orientation="landscape" verticalDpi="200" r:id="rId2"/>
      <headerFooter alignWithMargins="0"/>
    </customSheetView>
    <customSheetView guid="{7F8B5635-A623-4E30-B3CD-81572E28DD3B}" scale="70" fitToPage="1">
      <pane xSplit="1" ySplit="4" topLeftCell="B5" activePane="bottomRight" state="frozen"/>
      <selection pane="bottomRight" sqref="A1:C2"/>
      <pageMargins left="0" right="0" top="0" bottom="0" header="0" footer="0"/>
      <printOptions horizontalCentered="1" verticalCentered="1"/>
      <pageSetup paperSize="9" scale="62" orientation="landscape" verticalDpi="200" r:id="rId3"/>
      <headerFooter alignWithMargins="0"/>
    </customSheetView>
    <customSheetView guid="{9305C5A5-D0DC-44A7-9F2E-3D9972329F3B}" scale="70" fitToPage="1">
      <pane xSplit="1" ySplit="4" topLeftCell="B11" activePane="bottomRight" state="frozen"/>
      <selection pane="bottomRight" activeCell="I4" sqref="I4"/>
      <pageMargins left="0" right="0" top="0" bottom="0" header="0" footer="0"/>
      <printOptions horizontalCentered="1" verticalCentered="1"/>
      <pageSetup paperSize="9" scale="63" orientation="landscape" verticalDpi="200" r:id="rId4"/>
      <headerFooter alignWithMargins="0"/>
    </customSheetView>
    <customSheetView guid="{B88512C7-E999-43DF-910E-79F492ACDC07}" scale="70" fitToPage="1">
      <pane xSplit="1" ySplit="4" topLeftCell="B14" activePane="bottomRight" state="frozen"/>
      <selection pane="bottomRight" activeCell="B19" sqref="B19"/>
      <pageMargins left="0" right="0" top="0" bottom="0" header="0" footer="0"/>
      <printOptions horizontalCentered="1" verticalCentered="1"/>
      <pageSetup paperSize="9" scale="62" orientation="landscape" verticalDpi="200" r:id="rId5"/>
      <headerFooter alignWithMargins="0"/>
    </customSheetView>
    <customSheetView guid="{CCC91180-5AFF-4F66-8289-751A6565A566}" scale="70" fitToPage="1">
      <pane xSplit="1" ySplit="4" topLeftCell="B14" activePane="bottomRight" state="frozen"/>
      <selection pane="bottomRight" activeCell="U23" sqref="U23"/>
      <pageMargins left="0" right="0" top="0" bottom="0" header="0" footer="0"/>
      <printOptions horizontalCentered="1" verticalCentered="1"/>
      <pageSetup paperSize="9" scale="63" orientation="landscape" verticalDpi="200" r:id="rId6"/>
      <headerFooter alignWithMargins="0"/>
    </customSheetView>
    <customSheetView guid="{B3C9AC5F-5B8B-410E-9D26-5B59C498E5A1}" scale="70" fitToPage="1">
      <pane xSplit="1" ySplit="4" topLeftCell="B5" activePane="bottomRight" state="frozen"/>
      <selection pane="bottomRight" activeCell="X25" sqref="X25"/>
      <pageMargins left="0" right="0" top="0" bottom="0" header="0" footer="0"/>
      <printOptions horizontalCentered="1" verticalCentered="1"/>
      <pageSetup paperSize="9" scale="63" orientation="landscape" verticalDpi="200" r:id="rId7"/>
      <headerFooter alignWithMargins="0"/>
    </customSheetView>
    <customSheetView guid="{F25A9431-EF11-42C3-A78F-687A63A3E286}" scale="70" showPageBreaks="1" fitToPage="1" printArea="1">
      <pane xSplit="1" ySplit="4" topLeftCell="B5" activePane="bottomRight" state="frozen"/>
      <selection pane="bottomRight" activeCell="AA12" sqref="AA12"/>
      <pageMargins left="0" right="0" top="0" bottom="0" header="0" footer="0"/>
      <printOptions horizontalCentered="1" verticalCentered="1"/>
      <pageSetup paperSize="9" scale="62" orientation="landscape" verticalDpi="200" r:id="rId8"/>
      <headerFooter alignWithMargins="0"/>
    </customSheetView>
    <customSheetView guid="{2FCEA7B5-A613-4A3D-8326-6CED3FE84531}" scale="70" showPageBreaks="1" fitToPage="1" printArea="1">
      <pane xSplit="1" ySplit="4" topLeftCell="B5" activePane="bottomRight" state="frozen"/>
      <selection pane="bottomRight" activeCell="Z15" sqref="Z15"/>
      <pageMargins left="0" right="0" top="0" bottom="0" header="0" footer="0"/>
      <printOptions horizontalCentered="1" verticalCentered="1"/>
      <pageSetup paperSize="9" scale="63" orientation="landscape" verticalDpi="200" r:id="rId9"/>
      <headerFooter alignWithMargins="0"/>
    </customSheetView>
    <customSheetView guid="{1BDCBC38-37EB-4DA5-98DC-D95F6AB0B894}" scale="70" showPageBreaks="1" fitToPage="1" printArea="1">
      <pane xSplit="1" ySplit="4" topLeftCell="B5" activePane="bottomRight" state="frozen"/>
      <selection pane="bottomRight" sqref="A1:C2"/>
      <pageMargins left="0" right="0" top="0" bottom="0" header="0" footer="0"/>
      <printOptions horizontalCentered="1" verticalCentered="1"/>
      <pageSetup paperSize="9" scale="51" orientation="landscape" verticalDpi="200" r:id="rId10"/>
      <headerFooter alignWithMargins="0"/>
    </customSheetView>
    <customSheetView guid="{D65F1D84-E790-44C7-9649-81A182A9F5B4}" scale="70" showPageBreaks="1" fitToPage="1" printArea="1">
      <pane xSplit="1" ySplit="4" topLeftCell="B5" activePane="bottomRight" state="frozen"/>
      <selection pane="bottomRight" activeCell="S10" sqref="S10"/>
      <pageMargins left="0" right="0" top="0" bottom="0" header="0" footer="0"/>
      <printOptions horizontalCentered="1" verticalCentered="1"/>
      <pageSetup paperSize="9" scale="73" orientation="landscape" verticalDpi="200" r:id="rId11"/>
      <headerFooter alignWithMargins="0"/>
    </customSheetView>
    <customSheetView guid="{3D11ADB8-DEB7-4BF2-9D2A-A4616EC1FE30}" scale="70" showPageBreaks="1" fitToPage="1" printArea="1">
      <pane xSplit="1" ySplit="4" topLeftCell="B5" activePane="bottomRight" state="frozen"/>
      <selection pane="bottomRight"/>
      <pageMargins left="0" right="0" top="0" bottom="0" header="0" footer="0"/>
      <printOptions horizontalCentered="1" verticalCentered="1"/>
      <pageSetup paperSize="9" scale="68" orientation="landscape" verticalDpi="200" r:id="rId12"/>
      <headerFooter alignWithMargins="0"/>
    </customSheetView>
    <customSheetView guid="{E6ABB168-1180-4DA6-9D13-FBE3E317346D}" scale="70" showPageBreaks="1" fitToPage="1" printArea="1">
      <pane xSplit="1" ySplit="4" topLeftCell="C5" activePane="bottomRight" state="frozen"/>
      <selection pane="bottomRight" activeCell="M9" sqref="M9"/>
      <pageMargins left="0" right="0" top="0" bottom="0" header="0" footer="0"/>
      <printOptions horizontalCentered="1" verticalCentered="1"/>
      <pageSetup paperSize="9" scale="60" orientation="landscape" verticalDpi="200" r:id="rId13"/>
      <headerFooter alignWithMargins="0"/>
    </customSheetView>
    <customSheetView guid="{545CF6B8-EE3D-4715-B9A2-C4673728AD5B}" scale="70" showPageBreaks="1" fitToPage="1">
      <selection activeCell="X12" sqref="X12"/>
      <pageMargins left="0" right="0" top="0" bottom="0" header="0" footer="0"/>
      <printOptions horizontalCentered="1" verticalCentered="1"/>
      <pageSetup paperSize="9" scale="51" orientation="landscape" verticalDpi="200" r:id="rId14"/>
      <headerFooter alignWithMargins="0"/>
    </customSheetView>
  </customSheetViews>
  <mergeCells count="1">
    <mergeCell ref="D3:D4"/>
  </mergeCells>
  <phoneticPr fontId="2"/>
  <conditionalFormatting sqref="E4:AI4 E6:AI27">
    <cfRule type="expression" dxfId="3" priority="11">
      <formula>E$4="日"</formula>
    </cfRule>
    <cfRule type="expression" dxfId="2" priority="14">
      <formula>E$4="土"</formula>
    </cfRule>
  </conditionalFormatting>
  <conditionalFormatting sqref="E3:AI3">
    <cfRule type="expression" dxfId="12" priority="10">
      <formula>E$4="日"</formula>
    </cfRule>
    <cfRule type="expression" dxfId="11" priority="13">
      <formula>E$4="土"</formula>
    </cfRule>
  </conditionalFormatting>
  <conditionalFormatting sqref="E9:AI19">
    <cfRule type="expression" dxfId="1" priority="8">
      <formula>E9="後昼"</formula>
    </cfRule>
    <cfRule type="expression" dxfId="0" priority="9">
      <formula>E9="前昼"</formula>
    </cfRule>
  </conditionalFormatting>
  <conditionalFormatting sqref="E8:AI8">
    <cfRule type="expression" dxfId="10" priority="7">
      <formula>E$8&lt;E$7</formula>
    </cfRule>
  </conditionalFormatting>
  <conditionalFormatting sqref="E28:AI38">
    <cfRule type="expression" dxfId="9" priority="5">
      <formula>E$4="日"</formula>
    </cfRule>
    <cfRule type="expression" dxfId="8" priority="6">
      <formula>E$4="土"</formula>
    </cfRule>
  </conditionalFormatting>
  <conditionalFormatting sqref="E28:AI38">
    <cfRule type="expression" dxfId="7" priority="3">
      <formula>E28="後昼"</formula>
    </cfRule>
    <cfRule type="expression" dxfId="6" priority="4">
      <formula>E28="前昼"</formula>
    </cfRule>
  </conditionalFormatting>
  <conditionalFormatting sqref="E5:AI5">
    <cfRule type="expression" dxfId="5" priority="1">
      <formula>E$4="日"</formula>
    </cfRule>
    <cfRule type="expression" dxfId="4" priority="2">
      <formula>E$4="土"</formula>
    </cfRule>
  </conditionalFormatting>
  <dataValidations count="1">
    <dataValidation allowBlank="1" showInputMessage="1" sqref="E7:AI8" xr:uid="{00000000-0002-0000-0000-000000000000}"/>
  </dataValidations>
  <printOptions horizontalCentered="1" verticalCentered="1"/>
  <pageMargins left="0" right="0" top="0" bottom="0" header="0.19685039370078741" footer="0.19685039370078741"/>
  <pageSetup paperSize="9" scale="51" orientation="landscape" verticalDpi="200" r:id="rId15"/>
  <headerFooter alignWithMargins="0"/>
  <drawing r:id="rId16"/>
  <legacyDrawing r:id="rId17"/>
  <controls>
    <mc:AlternateContent xmlns:mc="http://schemas.openxmlformats.org/markup-compatibility/2006">
      <mc:Choice Requires="x14">
        <control shapeId="1149" r:id="rId18" name="CommandButton4">
          <controlPr defaultSize="0" autoFill="0" autoLine="0" r:id="rId19">
            <anchor moveWithCells="1">
              <from>
                <xdr:col>15</xdr:col>
                <xdr:colOff>106680</xdr:colOff>
                <xdr:row>0</xdr:row>
                <xdr:rowOff>152400</xdr:rowOff>
              </from>
              <to>
                <xdr:col>19</xdr:col>
                <xdr:colOff>15240</xdr:colOff>
                <xdr:row>1</xdr:row>
                <xdr:rowOff>220980</xdr:rowOff>
              </to>
            </anchor>
          </controlPr>
        </control>
      </mc:Choice>
      <mc:Fallback>
        <control shapeId="1149" r:id="rId18" name="CommandButton4"/>
      </mc:Fallback>
    </mc:AlternateContent>
    <mc:AlternateContent xmlns:mc="http://schemas.openxmlformats.org/markup-compatibility/2006">
      <mc:Choice Requires="x14">
        <control shapeId="1031" r:id="rId20" name="CommandButton3">
          <controlPr defaultSize="0" autoFill="0" autoLine="0" r:id="rId21">
            <anchor moveWithCells="1">
              <from>
                <xdr:col>30</xdr:col>
                <xdr:colOff>205740</xdr:colOff>
                <xdr:row>0</xdr:row>
                <xdr:rowOff>114300</xdr:rowOff>
              </from>
              <to>
                <xdr:col>34</xdr:col>
                <xdr:colOff>114300</xdr:colOff>
                <xdr:row>1</xdr:row>
                <xdr:rowOff>182880</xdr:rowOff>
              </to>
            </anchor>
          </controlPr>
        </control>
      </mc:Choice>
      <mc:Fallback>
        <control shapeId="1031" r:id="rId20" name="CommandButton3"/>
      </mc:Fallback>
    </mc:AlternateContent>
    <mc:AlternateContent xmlns:mc="http://schemas.openxmlformats.org/markup-compatibility/2006">
      <mc:Choice Requires="x14">
        <control shapeId="1030" r:id="rId22" name="CommandButton2">
          <controlPr defaultSize="0" autoFill="0" autoLine="0" r:id="rId23">
            <anchor moveWithCells="1">
              <from>
                <xdr:col>26</xdr:col>
                <xdr:colOff>167640</xdr:colOff>
                <xdr:row>0</xdr:row>
                <xdr:rowOff>114300</xdr:rowOff>
              </from>
              <to>
                <xdr:col>30</xdr:col>
                <xdr:colOff>76200</xdr:colOff>
                <xdr:row>1</xdr:row>
                <xdr:rowOff>182880</xdr:rowOff>
              </to>
            </anchor>
          </controlPr>
        </control>
      </mc:Choice>
      <mc:Fallback>
        <control shapeId="1030" r:id="rId22" name="CommandButton2"/>
      </mc:Fallback>
    </mc:AlternateContent>
    <mc:AlternateContent xmlns:mc="http://schemas.openxmlformats.org/markup-compatibility/2006">
      <mc:Choice Requires="x14">
        <control shapeId="1029" r:id="rId24" name="CommandButton1">
          <controlPr defaultSize="0" autoFill="0" autoLine="0" r:id="rId25">
            <anchor moveWithCells="1">
              <from>
                <xdr:col>22</xdr:col>
                <xdr:colOff>129540</xdr:colOff>
                <xdr:row>0</xdr:row>
                <xdr:rowOff>137160</xdr:rowOff>
              </from>
              <to>
                <xdr:col>26</xdr:col>
                <xdr:colOff>38100</xdr:colOff>
                <xdr:row>1</xdr:row>
                <xdr:rowOff>205740</xdr:rowOff>
              </to>
            </anchor>
          </controlPr>
        </control>
      </mc:Choice>
      <mc:Fallback>
        <control shapeId="1029" r:id="rId2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xr:uid="{00000000-0002-0000-0000-000001000000}">
          <x14:formula1>
            <xm:f>振り分けマスタ!$A$2:$A$19</xm:f>
          </x14:formula1>
          <xm:sqref>E28:AI38 E9:AI19</xm:sqref>
        </x14:dataValidation>
        <x14:dataValidation type="list" allowBlank="1" showInputMessage="1" xr:uid="{00000000-0002-0000-0000-000002000000}">
          <x14:formula1>
            <xm:f>振り分けマスタ!$A$4:$A$19</xm:f>
          </x14:formula1>
          <xm:sqref>E5:AI6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5"/>
  <sheetViews>
    <sheetView zoomScaleNormal="100" workbookViewId="0">
      <selection activeCell="D21" sqref="D21"/>
    </sheetView>
  </sheetViews>
  <sheetFormatPr defaultRowHeight="13.2" x14ac:dyDescent="0.2"/>
  <cols>
    <col min="1" max="1" width="15.77734375" customWidth="1"/>
    <col min="2" max="2" width="11.6640625" bestFit="1" customWidth="1"/>
    <col min="3" max="3" width="13.88671875" bestFit="1" customWidth="1"/>
    <col min="4" max="4" width="11.33203125" customWidth="1"/>
    <col min="5" max="5" width="14.33203125" customWidth="1"/>
    <col min="6" max="6" width="7.33203125" customWidth="1"/>
    <col min="7" max="7" width="4.6640625" customWidth="1"/>
    <col min="8" max="8" width="6.88671875" customWidth="1"/>
    <col min="9" max="9" width="7.109375" customWidth="1"/>
    <col min="10" max="10" width="4.6640625" customWidth="1"/>
    <col min="11" max="11" width="15.44140625" bestFit="1" customWidth="1"/>
    <col min="12" max="15" width="4.6640625" customWidth="1"/>
  </cols>
  <sheetData>
    <row r="1" spans="1:6" x14ac:dyDescent="0.2">
      <c r="A1" t="s">
        <v>75</v>
      </c>
      <c r="B1" t="s">
        <v>76</v>
      </c>
      <c r="C1" t="s">
        <v>77</v>
      </c>
      <c r="E1" t="s">
        <v>78</v>
      </c>
    </row>
    <row r="2" spans="1:6" x14ac:dyDescent="0.2">
      <c r="A2" t="s">
        <v>120</v>
      </c>
      <c r="B2" t="s">
        <v>79</v>
      </c>
      <c r="C2" t="s">
        <v>80</v>
      </c>
      <c r="E2" t="s">
        <v>36</v>
      </c>
      <c r="F2" t="s">
        <v>13</v>
      </c>
    </row>
    <row r="3" spans="1:6" x14ac:dyDescent="0.2">
      <c r="A3" t="s">
        <v>119</v>
      </c>
      <c r="B3" t="s">
        <v>79</v>
      </c>
      <c r="C3" t="s">
        <v>80</v>
      </c>
      <c r="E3" t="s">
        <v>37</v>
      </c>
      <c r="F3" t="s">
        <v>15</v>
      </c>
    </row>
    <row r="4" spans="1:6" x14ac:dyDescent="0.2">
      <c r="A4" s="20" t="s">
        <v>81</v>
      </c>
      <c r="B4" t="s">
        <v>80</v>
      </c>
      <c r="C4" t="s">
        <v>79</v>
      </c>
      <c r="E4" t="s">
        <v>38</v>
      </c>
      <c r="F4" t="s">
        <v>18</v>
      </c>
    </row>
    <row r="5" spans="1:6" x14ac:dyDescent="0.2">
      <c r="A5" s="20" t="s">
        <v>82</v>
      </c>
      <c r="B5" t="s">
        <v>80</v>
      </c>
      <c r="C5" t="s">
        <v>79</v>
      </c>
      <c r="E5" t="s">
        <v>39</v>
      </c>
      <c r="F5" t="s">
        <v>20</v>
      </c>
    </row>
    <row r="6" spans="1:6" x14ac:dyDescent="0.2">
      <c r="A6" t="s">
        <v>83</v>
      </c>
      <c r="B6" t="s">
        <v>79</v>
      </c>
      <c r="C6" t="s">
        <v>80</v>
      </c>
      <c r="E6" t="s">
        <v>40</v>
      </c>
      <c r="F6" t="s">
        <v>22</v>
      </c>
    </row>
    <row r="7" spans="1:6" x14ac:dyDescent="0.2">
      <c r="A7" t="s">
        <v>84</v>
      </c>
      <c r="B7" t="s">
        <v>79</v>
      </c>
      <c r="C7" t="s">
        <v>80</v>
      </c>
      <c r="E7" t="s">
        <v>41</v>
      </c>
      <c r="F7" t="s">
        <v>24</v>
      </c>
    </row>
    <row r="8" spans="1:6" x14ac:dyDescent="0.2">
      <c r="A8" t="s">
        <v>85</v>
      </c>
      <c r="B8" t="s">
        <v>79</v>
      </c>
      <c r="C8" t="s">
        <v>80</v>
      </c>
      <c r="E8" t="s">
        <v>42</v>
      </c>
      <c r="F8" t="s">
        <v>26</v>
      </c>
    </row>
    <row r="9" spans="1:6" x14ac:dyDescent="0.2">
      <c r="A9" s="20" t="s">
        <v>86</v>
      </c>
      <c r="B9" t="s">
        <v>79</v>
      </c>
      <c r="C9" t="s">
        <v>80</v>
      </c>
      <c r="E9" t="s">
        <v>43</v>
      </c>
      <c r="F9" t="s">
        <v>28</v>
      </c>
    </row>
    <row r="10" spans="1:6" x14ac:dyDescent="0.2">
      <c r="A10" t="s">
        <v>87</v>
      </c>
      <c r="B10" t="s">
        <v>79</v>
      </c>
      <c r="C10" t="s">
        <v>80</v>
      </c>
    </row>
    <row r="11" spans="1:6" x14ac:dyDescent="0.2">
      <c r="A11" t="s">
        <v>88</v>
      </c>
      <c r="B11" t="s">
        <v>79</v>
      </c>
      <c r="C11" t="s">
        <v>80</v>
      </c>
    </row>
    <row r="12" spans="1:6" x14ac:dyDescent="0.2">
      <c r="A12" t="s">
        <v>89</v>
      </c>
      <c r="B12" t="s">
        <v>79</v>
      </c>
      <c r="C12" t="s">
        <v>80</v>
      </c>
    </row>
    <row r="13" spans="1:6" x14ac:dyDescent="0.2">
      <c r="A13" t="s">
        <v>90</v>
      </c>
      <c r="B13" t="s">
        <v>79</v>
      </c>
      <c r="C13" t="s">
        <v>80</v>
      </c>
    </row>
    <row r="14" spans="1:6" x14ac:dyDescent="0.2">
      <c r="A14" t="s">
        <v>91</v>
      </c>
      <c r="B14" t="s">
        <v>79</v>
      </c>
      <c r="C14" t="s">
        <v>80</v>
      </c>
    </row>
    <row r="15" spans="1:6" x14ac:dyDescent="0.2">
      <c r="A15" t="s">
        <v>92</v>
      </c>
      <c r="B15" t="s">
        <v>79</v>
      </c>
      <c r="C15" t="s">
        <v>80</v>
      </c>
    </row>
  </sheetData>
  <customSheetViews>
    <customSheetView guid="{545CF6B8-EE3D-4715-B9A2-C4673728AD5B}">
      <selection activeCell="L10" sqref="L10"/>
      <pageMargins left="0" right="0" top="0" bottom="0" header="0" footer="0"/>
    </customSheetView>
  </customSheetViews>
  <phoneticPr fontId="2"/>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3"/>
  <sheetViews>
    <sheetView workbookViewId="0">
      <selection activeCell="H15" sqref="H15"/>
    </sheetView>
  </sheetViews>
  <sheetFormatPr defaultRowHeight="13.2" x14ac:dyDescent="0.2"/>
  <sheetData>
    <row r="1" spans="1:4" x14ac:dyDescent="0.2">
      <c r="A1" t="s">
        <v>93</v>
      </c>
    </row>
    <row r="3" spans="1:4" x14ac:dyDescent="0.2">
      <c r="A3" t="s">
        <v>116</v>
      </c>
    </row>
    <row r="4" spans="1:4" x14ac:dyDescent="0.2">
      <c r="B4" t="s">
        <v>117</v>
      </c>
    </row>
    <row r="5" spans="1:4" x14ac:dyDescent="0.2">
      <c r="B5" t="s">
        <v>94</v>
      </c>
    </row>
    <row r="6" spans="1:4" x14ac:dyDescent="0.2">
      <c r="B6" t="s">
        <v>95</v>
      </c>
    </row>
    <row r="7" spans="1:4" x14ac:dyDescent="0.2">
      <c r="B7" t="s">
        <v>118</v>
      </c>
    </row>
    <row r="9" spans="1:4" x14ac:dyDescent="0.2">
      <c r="B9" t="s">
        <v>96</v>
      </c>
    </row>
    <row r="10" spans="1:4" x14ac:dyDescent="0.2">
      <c r="B10" t="s">
        <v>97</v>
      </c>
    </row>
    <row r="11" spans="1:4" x14ac:dyDescent="0.2">
      <c r="B11" t="s">
        <v>98</v>
      </c>
    </row>
    <row r="12" spans="1:4" x14ac:dyDescent="0.2">
      <c r="C12" t="s">
        <v>99</v>
      </c>
    </row>
    <row r="13" spans="1:4" x14ac:dyDescent="0.2">
      <c r="C13" t="s">
        <v>100</v>
      </c>
    </row>
    <row r="14" spans="1:4" x14ac:dyDescent="0.2">
      <c r="C14" t="s">
        <v>101</v>
      </c>
    </row>
    <row r="15" spans="1:4" x14ac:dyDescent="0.2">
      <c r="D15" t="s">
        <v>102</v>
      </c>
    </row>
    <row r="16" spans="1:4" x14ac:dyDescent="0.2">
      <c r="D16" t="s">
        <v>103</v>
      </c>
    </row>
    <row r="17" spans="2:4" x14ac:dyDescent="0.2">
      <c r="D17" t="s">
        <v>104</v>
      </c>
    </row>
    <row r="18" spans="2:4" x14ac:dyDescent="0.2">
      <c r="D18" t="s">
        <v>105</v>
      </c>
    </row>
    <row r="19" spans="2:4" x14ac:dyDescent="0.2">
      <c r="D19" t="s">
        <v>106</v>
      </c>
    </row>
    <row r="20" spans="2:4" x14ac:dyDescent="0.2">
      <c r="B20" t="s">
        <v>107</v>
      </c>
    </row>
    <row r="22" spans="2:4" x14ac:dyDescent="0.2">
      <c r="B22" t="s">
        <v>108</v>
      </c>
    </row>
    <row r="23" spans="2:4" x14ac:dyDescent="0.2">
      <c r="B23" t="s">
        <v>109</v>
      </c>
    </row>
    <row r="24" spans="2:4" x14ac:dyDescent="0.2">
      <c r="B24" t="s">
        <v>110</v>
      </c>
    </row>
    <row r="25" spans="2:4" x14ac:dyDescent="0.2">
      <c r="C25" t="s">
        <v>111</v>
      </c>
    </row>
    <row r="26" spans="2:4" x14ac:dyDescent="0.2">
      <c r="C26" t="s">
        <v>112</v>
      </c>
    </row>
    <row r="27" spans="2:4" x14ac:dyDescent="0.2">
      <c r="C27" t="s">
        <v>113</v>
      </c>
    </row>
    <row r="28" spans="2:4" x14ac:dyDescent="0.2">
      <c r="D28" t="s">
        <v>114</v>
      </c>
    </row>
    <row r="29" spans="2:4" x14ac:dyDescent="0.2">
      <c r="D29" t="s">
        <v>103</v>
      </c>
    </row>
    <row r="30" spans="2:4" x14ac:dyDescent="0.2">
      <c r="D30" t="s">
        <v>104</v>
      </c>
    </row>
    <row r="31" spans="2:4" x14ac:dyDescent="0.2">
      <c r="D31" t="s">
        <v>115</v>
      </c>
    </row>
    <row r="32" spans="2:4" x14ac:dyDescent="0.2">
      <c r="D32" t="s">
        <v>106</v>
      </c>
    </row>
    <row r="33" spans="2:2" x14ac:dyDescent="0.2">
      <c r="B33" t="s">
        <v>107</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シフト表</vt:lpstr>
      <vt:lpstr>振り分けマスタ</vt:lpstr>
      <vt:lpstr>仕様・流れ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kawano</dc:creator>
  <cp:keywords/>
  <dc:description/>
  <cp:lastModifiedBy>高嶋惟</cp:lastModifiedBy>
  <cp:revision/>
  <dcterms:created xsi:type="dcterms:W3CDTF">2008-01-07T09:28:31Z</dcterms:created>
  <dcterms:modified xsi:type="dcterms:W3CDTF">2021-04-14T09:05:21Z</dcterms:modified>
  <cp:category/>
  <cp:contentStatus/>
</cp:coreProperties>
</file>